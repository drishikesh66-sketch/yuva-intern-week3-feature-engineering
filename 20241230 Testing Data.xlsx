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8135" windowHeight="7185"/>
  </bookViews>
  <sheets>
    <sheet name="Data" sheetId="1" r:id="rId1"/>
  </sheets>
  <calcPr calcId="124519"/>
</workbook>
</file>

<file path=xl/calcChain.xml><?xml version="1.0" encoding="utf-8"?>
<calcChain xmlns="http://schemas.openxmlformats.org/spreadsheetml/2006/main">
  <c r="V113" i="1"/>
  <c r="U113"/>
  <c r="S113"/>
  <c r="R113"/>
  <c r="Q113"/>
  <c r="P113"/>
  <c r="H113"/>
  <c r="V112"/>
  <c r="U112"/>
  <c r="R112"/>
  <c r="Q112"/>
  <c r="P112"/>
  <c r="N112"/>
  <c r="S111"/>
  <c r="N111"/>
  <c r="K111"/>
  <c r="H111"/>
  <c r="E111"/>
  <c r="S110"/>
  <c r="N110"/>
  <c r="K110"/>
  <c r="H110"/>
  <c r="E110"/>
  <c r="S109"/>
  <c r="N109"/>
  <c r="K109"/>
  <c r="H109"/>
  <c r="E109"/>
  <c r="S108"/>
  <c r="N108"/>
  <c r="K108"/>
  <c r="K112" s="1"/>
  <c r="H108"/>
  <c r="H112" s="1"/>
  <c r="E108"/>
  <c r="S107"/>
  <c r="S112" s="1"/>
  <c r="N107"/>
  <c r="N113" s="1"/>
  <c r="K107"/>
  <c r="K113" s="1"/>
  <c r="H107"/>
  <c r="E107"/>
  <c r="E112" s="1"/>
  <c r="V105"/>
  <c r="U105"/>
  <c r="R105"/>
  <c r="Q105"/>
  <c r="P105"/>
  <c r="N105"/>
  <c r="V104"/>
  <c r="U104"/>
  <c r="R104"/>
  <c r="Q104"/>
  <c r="P104"/>
  <c r="S103"/>
  <c r="N103"/>
  <c r="K103"/>
  <c r="H103"/>
  <c r="E103"/>
  <c r="S102"/>
  <c r="N102"/>
  <c r="K102"/>
  <c r="H102"/>
  <c r="E102"/>
  <c r="S101"/>
  <c r="N101"/>
  <c r="K101"/>
  <c r="H101"/>
  <c r="E101"/>
  <c r="S100"/>
  <c r="N100"/>
  <c r="N104" s="1"/>
  <c r="K100"/>
  <c r="H100"/>
  <c r="E100"/>
  <c r="S99"/>
  <c r="S104" s="1"/>
  <c r="N99"/>
  <c r="K99"/>
  <c r="K105" s="1"/>
  <c r="H99"/>
  <c r="H104" s="1"/>
  <c r="E99"/>
  <c r="E104" s="1"/>
  <c r="V97"/>
  <c r="U97"/>
  <c r="R97"/>
  <c r="Q97"/>
  <c r="P97"/>
  <c r="V96"/>
  <c r="U96"/>
  <c r="R96"/>
  <c r="Q96"/>
  <c r="P96"/>
  <c r="S95"/>
  <c r="N95"/>
  <c r="K95"/>
  <c r="H95"/>
  <c r="E95"/>
  <c r="S94"/>
  <c r="N94"/>
  <c r="K94"/>
  <c r="H94"/>
  <c r="E94"/>
  <c r="S93"/>
  <c r="N93"/>
  <c r="K93"/>
  <c r="H93"/>
  <c r="E93"/>
  <c r="S92"/>
  <c r="N92"/>
  <c r="K92"/>
  <c r="H92"/>
  <c r="E92"/>
  <c r="S91"/>
  <c r="S97" s="1"/>
  <c r="N91"/>
  <c r="N97" s="1"/>
  <c r="K91"/>
  <c r="K96" s="1"/>
  <c r="H91"/>
  <c r="H96" s="1"/>
  <c r="E91"/>
  <c r="E96" s="1"/>
  <c r="V89"/>
  <c r="U89"/>
  <c r="S89"/>
  <c r="R89"/>
  <c r="Q89"/>
  <c r="P89"/>
  <c r="V88"/>
  <c r="U88"/>
  <c r="R88"/>
  <c r="Q88"/>
  <c r="P88"/>
  <c r="H88"/>
  <c r="S87"/>
  <c r="N87"/>
  <c r="K87"/>
  <c r="H87"/>
  <c r="E87"/>
  <c r="S86"/>
  <c r="N86"/>
  <c r="K86"/>
  <c r="H86"/>
  <c r="E86"/>
  <c r="S85"/>
  <c r="N85"/>
  <c r="K85"/>
  <c r="H85"/>
  <c r="E85"/>
  <c r="S84"/>
  <c r="N84"/>
  <c r="K84"/>
  <c r="H84"/>
  <c r="E84"/>
  <c r="E88" s="1"/>
  <c r="S83"/>
  <c r="S88" s="1"/>
  <c r="N83"/>
  <c r="N88" s="1"/>
  <c r="K83"/>
  <c r="K88" s="1"/>
  <c r="H83"/>
  <c r="H89" s="1"/>
  <c r="E83"/>
  <c r="E89" s="1"/>
  <c r="V81"/>
  <c r="U81"/>
  <c r="R81"/>
  <c r="Q81"/>
  <c r="P81"/>
  <c r="H81"/>
  <c r="V80"/>
  <c r="U80"/>
  <c r="R80"/>
  <c r="Q80"/>
  <c r="P80"/>
  <c r="N80"/>
  <c r="S79"/>
  <c r="N79"/>
  <c r="K79"/>
  <c r="H79"/>
  <c r="E79"/>
  <c r="S78"/>
  <c r="N78"/>
  <c r="K78"/>
  <c r="H78"/>
  <c r="E78"/>
  <c r="S77"/>
  <c r="S81" s="1"/>
  <c r="N77"/>
  <c r="K77"/>
  <c r="H77"/>
  <c r="E77"/>
  <c r="S76"/>
  <c r="N76"/>
  <c r="K76"/>
  <c r="K80" s="1"/>
  <c r="H76"/>
  <c r="H80" s="1"/>
  <c r="E76"/>
  <c r="S75"/>
  <c r="S80" s="1"/>
  <c r="N75"/>
  <c r="N81" s="1"/>
  <c r="K75"/>
  <c r="K81" s="1"/>
  <c r="H75"/>
  <c r="E75"/>
  <c r="E81" s="1"/>
  <c r="V73"/>
  <c r="U73"/>
  <c r="R73"/>
  <c r="Q73"/>
  <c r="P73"/>
  <c r="N73"/>
  <c r="V72"/>
  <c r="U72"/>
  <c r="R72"/>
  <c r="Q72"/>
  <c r="P72"/>
  <c r="S71"/>
  <c r="N71"/>
  <c r="K71"/>
  <c r="H71"/>
  <c r="E71"/>
  <c r="S70"/>
  <c r="N70"/>
  <c r="K70"/>
  <c r="H70"/>
  <c r="E70"/>
  <c r="S69"/>
  <c r="N69"/>
  <c r="K69"/>
  <c r="H69"/>
  <c r="E69"/>
  <c r="S68"/>
  <c r="N68"/>
  <c r="N72" s="1"/>
  <c r="K68"/>
  <c r="H68"/>
  <c r="E68"/>
  <c r="S67"/>
  <c r="S72" s="1"/>
  <c r="N67"/>
  <c r="K67"/>
  <c r="K73" s="1"/>
  <c r="H67"/>
  <c r="H73" s="1"/>
  <c r="E67"/>
  <c r="E72" s="1"/>
  <c r="V65"/>
  <c r="U65"/>
  <c r="R65"/>
  <c r="Q65"/>
  <c r="P65"/>
  <c r="V64"/>
  <c r="U64"/>
  <c r="R64"/>
  <c r="Q64"/>
  <c r="P64"/>
  <c r="S63"/>
  <c r="N63"/>
  <c r="K63"/>
  <c r="H63"/>
  <c r="E63"/>
  <c r="S62"/>
  <c r="N62"/>
  <c r="K62"/>
  <c r="H62"/>
  <c r="E62"/>
  <c r="S61"/>
  <c r="N61"/>
  <c r="K61"/>
  <c r="H61"/>
  <c r="E61"/>
  <c r="S60"/>
  <c r="N60"/>
  <c r="K60"/>
  <c r="H60"/>
  <c r="E60"/>
  <c r="S59"/>
  <c r="S65" s="1"/>
  <c r="N59"/>
  <c r="N65" s="1"/>
  <c r="K59"/>
  <c r="K64" s="1"/>
  <c r="H59"/>
  <c r="H64" s="1"/>
  <c r="E59"/>
  <c r="E64" s="1"/>
  <c r="V57"/>
  <c r="U57"/>
  <c r="S57"/>
  <c r="R57"/>
  <c r="Q57"/>
  <c r="P57"/>
  <c r="V56"/>
  <c r="U56"/>
  <c r="R56"/>
  <c r="Q56"/>
  <c r="P56"/>
  <c r="H56"/>
  <c r="S55"/>
  <c r="N55"/>
  <c r="K55"/>
  <c r="H55"/>
  <c r="E55"/>
  <c r="S54"/>
  <c r="N54"/>
  <c r="K54"/>
  <c r="H54"/>
  <c r="E54"/>
  <c r="S53"/>
  <c r="N53"/>
  <c r="K53"/>
  <c r="H53"/>
  <c r="E53"/>
  <c r="S52"/>
  <c r="N52"/>
  <c r="K52"/>
  <c r="H52"/>
  <c r="E52"/>
  <c r="E57" s="1"/>
  <c r="S51"/>
  <c r="S56" s="1"/>
  <c r="N51"/>
  <c r="N56" s="1"/>
  <c r="K51"/>
  <c r="K56" s="1"/>
  <c r="H51"/>
  <c r="H57" s="1"/>
  <c r="E51"/>
  <c r="V49"/>
  <c r="U49"/>
  <c r="R49"/>
  <c r="Q49"/>
  <c r="P49"/>
  <c r="H49"/>
  <c r="V48"/>
  <c r="U48"/>
  <c r="R48"/>
  <c r="Q48"/>
  <c r="P48"/>
  <c r="N48"/>
  <c r="S47"/>
  <c r="N47"/>
  <c r="K47"/>
  <c r="H47"/>
  <c r="E47"/>
  <c r="S46"/>
  <c r="N46"/>
  <c r="K46"/>
  <c r="H46"/>
  <c r="E46"/>
  <c r="S45"/>
  <c r="S49" s="1"/>
  <c r="N45"/>
  <c r="K45"/>
  <c r="H45"/>
  <c r="E45"/>
  <c r="S44"/>
  <c r="N44"/>
  <c r="K44"/>
  <c r="K49" s="1"/>
  <c r="H44"/>
  <c r="H48" s="1"/>
  <c r="E44"/>
  <c r="S43"/>
  <c r="S48" s="1"/>
  <c r="N43"/>
  <c r="N49" s="1"/>
  <c r="K43"/>
  <c r="H43"/>
  <c r="E43"/>
  <c r="E49" s="1"/>
  <c r="V41"/>
  <c r="U41"/>
  <c r="R41"/>
  <c r="Q41"/>
  <c r="P41"/>
  <c r="N41"/>
  <c r="V40"/>
  <c r="U40"/>
  <c r="R40"/>
  <c r="Q40"/>
  <c r="P40"/>
  <c r="S39"/>
  <c r="N39"/>
  <c r="K39"/>
  <c r="H39"/>
  <c r="E39"/>
  <c r="S38"/>
  <c r="N38"/>
  <c r="K38"/>
  <c r="H38"/>
  <c r="E38"/>
  <c r="S37"/>
  <c r="N37"/>
  <c r="K37"/>
  <c r="H37"/>
  <c r="E37"/>
  <c r="S36"/>
  <c r="N36"/>
  <c r="N40" s="1"/>
  <c r="K36"/>
  <c r="H36"/>
  <c r="E36"/>
  <c r="S35"/>
  <c r="S40" s="1"/>
  <c r="N35"/>
  <c r="K35"/>
  <c r="K41" s="1"/>
  <c r="H35"/>
  <c r="H41" s="1"/>
  <c r="E35"/>
  <c r="E40" s="1"/>
  <c r="V33"/>
  <c r="U33"/>
  <c r="R33"/>
  <c r="Q33"/>
  <c r="P33"/>
  <c r="V32"/>
  <c r="U32"/>
  <c r="R32"/>
  <c r="Q32"/>
  <c r="P32"/>
  <c r="S31"/>
  <c r="N31"/>
  <c r="K31"/>
  <c r="H31"/>
  <c r="E31"/>
  <c r="S30"/>
  <c r="N30"/>
  <c r="K30"/>
  <c r="H30"/>
  <c r="E30"/>
  <c r="S29"/>
  <c r="N29"/>
  <c r="K29"/>
  <c r="H29"/>
  <c r="E29"/>
  <c r="E32" s="1"/>
  <c r="S28"/>
  <c r="N28"/>
  <c r="K28"/>
  <c r="H28"/>
  <c r="E28"/>
  <c r="S27"/>
  <c r="S33" s="1"/>
  <c r="N27"/>
  <c r="N33" s="1"/>
  <c r="K27"/>
  <c r="K32" s="1"/>
  <c r="H27"/>
  <c r="H32" s="1"/>
  <c r="E27"/>
  <c r="E33" s="1"/>
  <c r="V25"/>
  <c r="U25"/>
  <c r="R25"/>
  <c r="Q25"/>
  <c r="P25"/>
  <c r="V24"/>
  <c r="U24"/>
  <c r="R24"/>
  <c r="Q24"/>
  <c r="P24"/>
  <c r="K24"/>
  <c r="H24"/>
  <c r="S23"/>
  <c r="N23"/>
  <c r="K23"/>
  <c r="H23"/>
  <c r="E23"/>
  <c r="S22"/>
  <c r="S25" s="1"/>
  <c r="N22"/>
  <c r="K22"/>
  <c r="H22"/>
  <c r="E22"/>
  <c r="S21"/>
  <c r="N21"/>
  <c r="K21"/>
  <c r="H21"/>
  <c r="E21"/>
  <c r="S20"/>
  <c r="N20"/>
  <c r="K20"/>
  <c r="H20"/>
  <c r="E20"/>
  <c r="E25" s="1"/>
  <c r="S19"/>
  <c r="S24" s="1"/>
  <c r="N19"/>
  <c r="N24" s="1"/>
  <c r="K19"/>
  <c r="K25" s="1"/>
  <c r="H19"/>
  <c r="H25" s="1"/>
  <c r="E19"/>
  <c r="V17"/>
  <c r="U17"/>
  <c r="R17"/>
  <c r="Q17"/>
  <c r="P17"/>
  <c r="K17"/>
  <c r="H17"/>
  <c r="V16"/>
  <c r="U16"/>
  <c r="R16"/>
  <c r="Q16"/>
  <c r="P16"/>
  <c r="N16"/>
  <c r="K16"/>
  <c r="H16"/>
  <c r="S15"/>
  <c r="N15"/>
  <c r="K15"/>
  <c r="H15"/>
  <c r="E15"/>
  <c r="S14"/>
  <c r="N14"/>
  <c r="K14"/>
  <c r="H14"/>
  <c r="E14"/>
  <c r="S13"/>
  <c r="S17" s="1"/>
  <c r="N13"/>
  <c r="K13"/>
  <c r="H13"/>
  <c r="E13"/>
  <c r="S12"/>
  <c r="N12"/>
  <c r="K12"/>
  <c r="H12"/>
  <c r="E12"/>
  <c r="S11"/>
  <c r="S16" s="1"/>
  <c r="N11"/>
  <c r="N17" s="1"/>
  <c r="K11"/>
  <c r="H11"/>
  <c r="E11"/>
  <c r="E17" s="1"/>
  <c r="A11"/>
  <c r="A19" s="1"/>
  <c r="AA9"/>
  <c r="V9"/>
  <c r="U9"/>
  <c r="R9"/>
  <c r="Q9"/>
  <c r="P9"/>
  <c r="AA8"/>
  <c r="V8"/>
  <c r="U8"/>
  <c r="R8"/>
  <c r="Q8"/>
  <c r="P8"/>
  <c r="H8"/>
  <c r="E8"/>
  <c r="Z7"/>
  <c r="S7"/>
  <c r="N7"/>
  <c r="K7"/>
  <c r="H7"/>
  <c r="E7"/>
  <c r="Z6"/>
  <c r="S6"/>
  <c r="N6"/>
  <c r="K6"/>
  <c r="H6"/>
  <c r="E6"/>
  <c r="Z5"/>
  <c r="S5"/>
  <c r="N5"/>
  <c r="K5"/>
  <c r="H5"/>
  <c r="E5"/>
  <c r="Z4"/>
  <c r="Z8" s="1"/>
  <c r="S4"/>
  <c r="S8" s="1"/>
  <c r="N4"/>
  <c r="K4"/>
  <c r="H4"/>
  <c r="E4"/>
  <c r="A4"/>
  <c r="A5" s="1"/>
  <c r="A6" s="1"/>
  <c r="A7" s="1"/>
  <c r="Z3"/>
  <c r="Z9" s="1"/>
  <c r="S3"/>
  <c r="S9" s="1"/>
  <c r="N3"/>
  <c r="N8" s="1"/>
  <c r="K3"/>
  <c r="K8" s="1"/>
  <c r="H3"/>
  <c r="H9" s="1"/>
  <c r="E3"/>
  <c r="E9" s="1"/>
  <c r="A27" l="1"/>
  <c r="A20"/>
  <c r="A21" s="1"/>
  <c r="A22" s="1"/>
  <c r="A23" s="1"/>
  <c r="S32"/>
  <c r="S64"/>
  <c r="E113"/>
  <c r="H105"/>
  <c r="K9"/>
  <c r="A12"/>
  <c r="A13" s="1"/>
  <c r="A14" s="1"/>
  <c r="A15" s="1"/>
  <c r="E16"/>
  <c r="K33"/>
  <c r="K40"/>
  <c r="E41"/>
  <c r="E48"/>
  <c r="K65"/>
  <c r="K72"/>
  <c r="E73"/>
  <c r="E80"/>
  <c r="K97"/>
  <c r="K104"/>
  <c r="E105"/>
  <c r="E56"/>
  <c r="N9"/>
  <c r="N25"/>
  <c r="N32"/>
  <c r="H33"/>
  <c r="H40"/>
  <c r="S41"/>
  <c r="N57"/>
  <c r="N64"/>
  <c r="H65"/>
  <c r="H72"/>
  <c r="S73"/>
  <c r="N89"/>
  <c r="N96"/>
  <c r="H97"/>
  <c r="S105"/>
  <c r="E24"/>
  <c r="K57"/>
  <c r="E65"/>
  <c r="K89"/>
  <c r="E97"/>
  <c r="S96"/>
  <c r="K48"/>
  <c r="A28" l="1"/>
  <c r="A29" s="1"/>
  <c r="A30" s="1"/>
  <c r="A31" s="1"/>
  <c r="A35"/>
  <c r="A43" l="1"/>
  <c r="A36"/>
  <c r="A37" s="1"/>
  <c r="A38" s="1"/>
  <c r="A39" s="1"/>
  <c r="A51" l="1"/>
  <c r="A44"/>
  <c r="A45" s="1"/>
  <c r="A46" s="1"/>
  <c r="A47" s="1"/>
  <c r="A59" l="1"/>
  <c r="A52"/>
  <c r="A53" s="1"/>
  <c r="A54" s="1"/>
  <c r="A55" s="1"/>
  <c r="A60" l="1"/>
  <c r="A61" s="1"/>
  <c r="A62" s="1"/>
  <c r="A63" s="1"/>
  <c r="A67"/>
  <c r="A75" l="1"/>
  <c r="A68"/>
  <c r="A69" s="1"/>
  <c r="A70" s="1"/>
  <c r="A71" s="1"/>
  <c r="A83" l="1"/>
  <c r="A76"/>
  <c r="A77" s="1"/>
  <c r="A78" s="1"/>
  <c r="A79" s="1"/>
  <c r="A91" l="1"/>
  <c r="A84"/>
  <c r="A85" s="1"/>
  <c r="A86" s="1"/>
  <c r="A87" s="1"/>
  <c r="A92" l="1"/>
  <c r="A93" s="1"/>
  <c r="A94" s="1"/>
  <c r="A95" s="1"/>
  <c r="A99"/>
  <c r="A100" l="1"/>
  <c r="A101" s="1"/>
  <c r="A102" s="1"/>
  <c r="A103" s="1"/>
  <c r="A107"/>
  <c r="A108" s="1"/>
  <c r="A109" s="1"/>
  <c r="A110" s="1"/>
  <c r="A111" s="1"/>
</calcChain>
</file>

<file path=xl/sharedStrings.xml><?xml version="1.0" encoding="utf-8"?>
<sst xmlns="http://schemas.openxmlformats.org/spreadsheetml/2006/main" count="55" uniqueCount="23">
  <si>
    <t>Microbiological</t>
  </si>
  <si>
    <t>log10(cfu.ml)</t>
  </si>
  <si>
    <t>Sensory</t>
  </si>
  <si>
    <t>Day</t>
  </si>
  <si>
    <t>Repl</t>
  </si>
  <si>
    <t>cfu/ml</t>
  </si>
  <si>
    <t>dil</t>
  </si>
  <si>
    <t>Total plate count (TPC)</t>
  </si>
  <si>
    <t>Coliform count</t>
  </si>
  <si>
    <t>Yeast and mold</t>
  </si>
  <si>
    <t>Pyschrophilic count</t>
  </si>
  <si>
    <t>Colour and Appearance</t>
  </si>
  <si>
    <t>Body and Texture</t>
  </si>
  <si>
    <t>Flavour</t>
  </si>
  <si>
    <t>Overall Acceptability</t>
  </si>
  <si>
    <t>pH</t>
  </si>
  <si>
    <t>Moisture %</t>
  </si>
  <si>
    <t>Milk</t>
  </si>
  <si>
    <t>Paneer</t>
  </si>
  <si>
    <t>Yield (%)</t>
  </si>
  <si>
    <t>Fat %</t>
  </si>
  <si>
    <t>Mean</t>
  </si>
  <si>
    <t>SD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</si>
</sst>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13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Z8" sqref="Z8"/>
    </sheetView>
  </sheetViews>
  <sheetFormatPr defaultRowHeight="12.75"/>
  <cols>
    <col min="1" max="1" width="4.42578125" style="3" bestFit="1" customWidth="1"/>
    <col min="2" max="2" width="3.7109375" style="3" customWidth="1"/>
    <col min="3" max="3" width="4" style="3" customWidth="1"/>
    <col min="4" max="4" width="3" style="3" customWidth="1"/>
    <col min="5" max="5" width="8.140625" style="3" customWidth="1"/>
    <col min="6" max="6" width="3.7109375" style="3" customWidth="1"/>
    <col min="7" max="7" width="3" style="3" customWidth="1"/>
    <col min="8" max="8" width="6.85546875" style="3" customWidth="1"/>
    <col min="9" max="9" width="3.7109375" style="3" customWidth="1"/>
    <col min="10" max="10" width="3" style="3" customWidth="1"/>
    <col min="11" max="11" width="7" style="3" customWidth="1"/>
    <col min="12" max="12" width="3.7109375" style="3" customWidth="1"/>
    <col min="13" max="13" width="3" style="3" customWidth="1"/>
    <col min="14" max="14" width="8.5703125" style="3" customWidth="1"/>
    <col min="15" max="15" width="3" style="3" customWidth="1"/>
    <col min="16" max="16" width="6.85546875" style="3" customWidth="1"/>
    <col min="17" max="17" width="7.140625" style="3" customWidth="1"/>
    <col min="18" max="18" width="7.28515625" style="3" customWidth="1"/>
    <col min="19" max="19" width="7.7109375" style="3" customWidth="1"/>
    <col min="20" max="20" width="2.140625" style="3" customWidth="1"/>
    <col min="21" max="21" width="7.140625" style="3" customWidth="1"/>
    <col min="22" max="22" width="7.28515625" style="3" customWidth="1"/>
    <col min="23" max="23" width="2.140625" style="3" customWidth="1"/>
    <col min="24" max="24" width="5" style="3" bestFit="1" customWidth="1"/>
    <col min="25" max="25" width="7.7109375" style="3" bestFit="1" customWidth="1"/>
    <col min="26" max="26" width="7.28515625" style="3" customWidth="1"/>
    <col min="27" max="27" width="7.5703125" style="3" customWidth="1"/>
    <col min="28" max="16384" width="9.140625" style="3"/>
  </cols>
  <sheetData>
    <row r="1" spans="1:27" s="1" customFormat="1">
      <c r="C1" s="1" t="s">
        <v>0</v>
      </c>
      <c r="H1" s="1" t="s">
        <v>1</v>
      </c>
      <c r="P1" s="1" t="s">
        <v>2</v>
      </c>
    </row>
    <row r="2" spans="1:27" s="2" customFormat="1" ht="5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5</v>
      </c>
      <c r="G2" s="2" t="s">
        <v>6</v>
      </c>
      <c r="H2" s="2" t="s">
        <v>8</v>
      </c>
      <c r="I2" s="2" t="s">
        <v>5</v>
      </c>
      <c r="J2" s="2" t="s">
        <v>6</v>
      </c>
      <c r="K2" s="2" t="s">
        <v>9</v>
      </c>
      <c r="L2" s="2" t="s">
        <v>5</v>
      </c>
      <c r="M2" s="2" t="s">
        <v>6</v>
      </c>
      <c r="N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U2" s="2" t="s">
        <v>15</v>
      </c>
      <c r="V2" s="2" t="s">
        <v>16</v>
      </c>
      <c r="X2" s="2" t="s">
        <v>17</v>
      </c>
      <c r="Y2" s="2" t="s">
        <v>18</v>
      </c>
      <c r="Z2" s="2" t="s">
        <v>19</v>
      </c>
      <c r="AA2" s="2" t="s">
        <v>20</v>
      </c>
    </row>
    <row r="3" spans="1:27">
      <c r="A3" s="3">
        <v>0</v>
      </c>
      <c r="B3" s="3">
        <v>1</v>
      </c>
      <c r="C3" s="3">
        <v>20</v>
      </c>
      <c r="D3" s="3">
        <v>1</v>
      </c>
      <c r="E3" s="3">
        <f>LOG10(C3/(10^(-D3)))</f>
        <v>2.3010299956639813</v>
      </c>
      <c r="F3" s="3">
        <v>0</v>
      </c>
      <c r="G3" s="3">
        <v>0</v>
      </c>
      <c r="H3" s="3" t="e">
        <f>LOG10(F3/(10^(-G3)))</f>
        <v>#NUM!</v>
      </c>
      <c r="I3" s="3">
        <v>0</v>
      </c>
      <c r="J3" s="3">
        <v>0</v>
      </c>
      <c r="K3" s="3" t="e">
        <f>LOG10(I3/(10^(-J3)))</f>
        <v>#NUM!</v>
      </c>
      <c r="L3" s="3">
        <v>0</v>
      </c>
      <c r="M3" s="3">
        <v>0</v>
      </c>
      <c r="N3" s="3" t="e">
        <f>LOG10(L3/(10^(-M3)))</f>
        <v>#NUM!</v>
      </c>
      <c r="P3" s="3">
        <v>8.5</v>
      </c>
      <c r="Q3" s="3">
        <v>9</v>
      </c>
      <c r="R3" s="3">
        <v>8.5</v>
      </c>
      <c r="S3" s="3">
        <f>AVERAGE(P3:R3)</f>
        <v>8.6666666666666661</v>
      </c>
      <c r="U3" s="3">
        <v>5.7</v>
      </c>
      <c r="V3" s="3">
        <v>53.28</v>
      </c>
      <c r="X3" s="3">
        <v>10.25</v>
      </c>
      <c r="Y3" s="3">
        <v>2.0099999999999998</v>
      </c>
      <c r="Z3" s="3">
        <f>Y3/X3*100</f>
        <v>19.609756097560975</v>
      </c>
      <c r="AA3" s="3">
        <v>23.456</v>
      </c>
    </row>
    <row r="4" spans="1:27">
      <c r="A4" s="3">
        <f>A3</f>
        <v>0</v>
      </c>
      <c r="B4" s="3">
        <v>2</v>
      </c>
      <c r="C4" s="3">
        <v>12</v>
      </c>
      <c r="D4" s="3">
        <v>1</v>
      </c>
      <c r="E4" s="3">
        <f t="shared" ref="E4:E7" si="0">LOG10(C4/(10^(-D4)))</f>
        <v>2.0791812460476247</v>
      </c>
      <c r="F4" s="3">
        <v>0</v>
      </c>
      <c r="G4" s="3">
        <v>0</v>
      </c>
      <c r="H4" s="3" t="e">
        <f t="shared" ref="H4:H7" si="1">LOG10(F4/(10^(-G4)))</f>
        <v>#NUM!</v>
      </c>
      <c r="I4" s="3">
        <v>0</v>
      </c>
      <c r="J4" s="3">
        <v>0</v>
      </c>
      <c r="K4" s="3" t="e">
        <f t="shared" ref="K4:K7" si="2">LOG10(I4/(10^(-J4)))</f>
        <v>#NUM!</v>
      </c>
      <c r="L4" s="3">
        <v>0</v>
      </c>
      <c r="M4" s="3">
        <v>0</v>
      </c>
      <c r="N4" s="3" t="e">
        <f t="shared" ref="N4:N7" si="3">LOG10(L4/(10^(-M4)))</f>
        <v>#NUM!</v>
      </c>
      <c r="P4" s="3">
        <v>8.5</v>
      </c>
      <c r="Q4" s="3">
        <v>8.5</v>
      </c>
      <c r="R4" s="3">
        <v>8.5</v>
      </c>
      <c r="S4" s="3">
        <f t="shared" ref="S4:S7" si="4">AVERAGE(P4:R4)</f>
        <v>8.5</v>
      </c>
      <c r="U4" s="3">
        <v>5.98</v>
      </c>
      <c r="V4" s="3">
        <v>52.55</v>
      </c>
      <c r="X4" s="3">
        <v>10.5</v>
      </c>
      <c r="Y4" s="3">
        <v>2.0499999999999998</v>
      </c>
      <c r="Z4" s="3">
        <f t="shared" ref="Z4:Z7" si="5">Y4/X4*100</f>
        <v>19.523809523809522</v>
      </c>
      <c r="AA4" s="3">
        <v>25.469000000000001</v>
      </c>
    </row>
    <row r="5" spans="1:27">
      <c r="A5" s="3">
        <f t="shared" ref="A5:A7" si="6">A4</f>
        <v>0</v>
      </c>
      <c r="B5" s="3">
        <v>3</v>
      </c>
      <c r="C5" s="3">
        <v>17</v>
      </c>
      <c r="D5" s="3">
        <v>1</v>
      </c>
      <c r="E5" s="3">
        <f t="shared" si="0"/>
        <v>2.2304489213782741</v>
      </c>
      <c r="F5" s="3">
        <v>0</v>
      </c>
      <c r="G5" s="3">
        <v>0</v>
      </c>
      <c r="H5" s="3" t="e">
        <f t="shared" si="1"/>
        <v>#NUM!</v>
      </c>
      <c r="I5" s="3">
        <v>0</v>
      </c>
      <c r="J5" s="3">
        <v>0</v>
      </c>
      <c r="K5" s="3" t="e">
        <f t="shared" si="2"/>
        <v>#NUM!</v>
      </c>
      <c r="L5" s="3">
        <v>0</v>
      </c>
      <c r="M5" s="3">
        <v>0</v>
      </c>
      <c r="N5" s="3" t="e">
        <f t="shared" si="3"/>
        <v>#NUM!</v>
      </c>
      <c r="P5" s="3">
        <v>9</v>
      </c>
      <c r="Q5" s="3">
        <v>8.5</v>
      </c>
      <c r="R5" s="3">
        <v>9</v>
      </c>
      <c r="S5" s="3">
        <f t="shared" si="4"/>
        <v>8.8333333333333339</v>
      </c>
      <c r="U5" s="3">
        <v>5.84</v>
      </c>
      <c r="V5" s="3">
        <v>53.47</v>
      </c>
      <c r="X5" s="3">
        <v>10.1</v>
      </c>
      <c r="Y5" s="3">
        <v>1.73</v>
      </c>
      <c r="Z5" s="3">
        <f t="shared" si="5"/>
        <v>17.128712871287131</v>
      </c>
      <c r="AA5" s="3">
        <v>24.631</v>
      </c>
    </row>
    <row r="6" spans="1:27">
      <c r="A6" s="3">
        <f t="shared" si="6"/>
        <v>0</v>
      </c>
      <c r="B6" s="3">
        <v>4</v>
      </c>
      <c r="C6" s="3">
        <v>29</v>
      </c>
      <c r="D6" s="3">
        <v>1</v>
      </c>
      <c r="E6" s="3">
        <f t="shared" si="0"/>
        <v>2.4623979978989561</v>
      </c>
      <c r="F6" s="3">
        <v>0</v>
      </c>
      <c r="G6" s="3">
        <v>0</v>
      </c>
      <c r="H6" s="3" t="e">
        <f t="shared" si="1"/>
        <v>#NUM!</v>
      </c>
      <c r="I6" s="3">
        <v>0</v>
      </c>
      <c r="J6" s="3">
        <v>0</v>
      </c>
      <c r="K6" s="3" t="e">
        <f t="shared" si="2"/>
        <v>#NUM!</v>
      </c>
      <c r="L6" s="3">
        <v>0</v>
      </c>
      <c r="M6" s="3">
        <v>0</v>
      </c>
      <c r="N6" s="3" t="e">
        <f t="shared" si="3"/>
        <v>#NUM!</v>
      </c>
      <c r="P6" s="3">
        <v>9</v>
      </c>
      <c r="Q6" s="3">
        <v>8.5</v>
      </c>
      <c r="R6" s="3">
        <v>8.5</v>
      </c>
      <c r="S6" s="3">
        <f t="shared" si="4"/>
        <v>8.6666666666666661</v>
      </c>
      <c r="U6" s="3">
        <v>5.9</v>
      </c>
      <c r="V6" s="3">
        <v>53.06</v>
      </c>
      <c r="X6" s="3">
        <v>9.9</v>
      </c>
      <c r="Y6" s="3">
        <v>1.78</v>
      </c>
      <c r="Z6" s="3">
        <f t="shared" si="5"/>
        <v>17.979797979797979</v>
      </c>
      <c r="AA6" s="3">
        <v>23.431999999999999</v>
      </c>
    </row>
    <row r="7" spans="1:27">
      <c r="A7" s="3">
        <f t="shared" si="6"/>
        <v>0</v>
      </c>
      <c r="B7" s="3">
        <v>5</v>
      </c>
      <c r="C7" s="3">
        <v>24</v>
      </c>
      <c r="D7" s="3">
        <v>1</v>
      </c>
      <c r="E7" s="3">
        <f t="shared" si="0"/>
        <v>2.3802112417116059</v>
      </c>
      <c r="F7" s="3">
        <v>0</v>
      </c>
      <c r="G7" s="3">
        <v>0</v>
      </c>
      <c r="H7" s="3" t="e">
        <f t="shared" si="1"/>
        <v>#NUM!</v>
      </c>
      <c r="I7" s="3">
        <v>0</v>
      </c>
      <c r="J7" s="3">
        <v>0</v>
      </c>
      <c r="K7" s="3" t="e">
        <f t="shared" si="2"/>
        <v>#NUM!</v>
      </c>
      <c r="L7" s="3">
        <v>0</v>
      </c>
      <c r="M7" s="3">
        <v>0</v>
      </c>
      <c r="N7" s="3" t="e">
        <f t="shared" si="3"/>
        <v>#NUM!</v>
      </c>
      <c r="P7" s="3">
        <v>8.5</v>
      </c>
      <c r="Q7" s="3">
        <v>8.5</v>
      </c>
      <c r="R7" s="3">
        <v>8.5</v>
      </c>
      <c r="S7" s="3">
        <f t="shared" si="4"/>
        <v>8.5</v>
      </c>
      <c r="U7" s="3">
        <v>5.84</v>
      </c>
      <c r="V7" s="3">
        <v>52.37</v>
      </c>
      <c r="X7" s="3">
        <v>10.6</v>
      </c>
      <c r="Y7" s="3">
        <v>2.11</v>
      </c>
      <c r="Z7" s="3">
        <f t="shared" si="5"/>
        <v>19.90566037735849</v>
      </c>
      <c r="AA7" s="3">
        <v>23.459</v>
      </c>
    </row>
    <row r="8" spans="1:27">
      <c r="B8" s="3" t="s">
        <v>21</v>
      </c>
      <c r="E8" s="3">
        <f>AVERAGE(E3:E7)</f>
        <v>2.2906538805400887</v>
      </c>
      <c r="H8" s="3" t="e">
        <f>AVERAGE(H3:H7)</f>
        <v>#NUM!</v>
      </c>
      <c r="K8" s="3" t="e">
        <f>AVERAGE(K3:K7)</f>
        <v>#NUM!</v>
      </c>
      <c r="N8" s="3" t="e">
        <f>AVERAGE(N3:N7)</f>
        <v>#NUM!</v>
      </c>
      <c r="P8" s="3">
        <f t="shared" ref="P8:S8" si="7">AVERAGE(P3:P7)</f>
        <v>8.6999999999999993</v>
      </c>
      <c r="Q8" s="3">
        <f t="shared" si="7"/>
        <v>8.6</v>
      </c>
      <c r="R8" s="3">
        <f t="shared" si="7"/>
        <v>8.6</v>
      </c>
      <c r="S8" s="3">
        <f t="shared" si="7"/>
        <v>8.6333333333333329</v>
      </c>
      <c r="U8" s="3">
        <f>AVERAGE(U3:U7)</f>
        <v>5.8520000000000003</v>
      </c>
      <c r="V8" s="3">
        <f>AVERAGE(V3:V7)</f>
        <v>52.946000000000005</v>
      </c>
      <c r="Z8" s="3">
        <f>AVERAGE(Z3:Z7)</f>
        <v>18.829547369962818</v>
      </c>
      <c r="AA8" s="3">
        <f>AVERAGE(AA3:AA7)</f>
        <v>24.089400000000001</v>
      </c>
    </row>
    <row r="9" spans="1:27">
      <c r="B9" s="3" t="s">
        <v>22</v>
      </c>
      <c r="E9" s="3">
        <f>STDEV(E3:E7)</f>
        <v>0.14660281272822176</v>
      </c>
      <c r="H9" s="3" t="e">
        <f>STDEV(H3:H7)</f>
        <v>#NUM!</v>
      </c>
      <c r="K9" s="3" t="e">
        <f>STDEV(K3:K7)</f>
        <v>#NUM!</v>
      </c>
      <c r="N9" s="3" t="e">
        <f>STDEV(N3:N7)</f>
        <v>#NUM!</v>
      </c>
      <c r="P9" s="3">
        <f t="shared" ref="P9:S9" si="8">STDEV(P3:P7)</f>
        <v>0.27386127875258826</v>
      </c>
      <c r="Q9" s="3">
        <f t="shared" si="8"/>
        <v>0.22360679774997261</v>
      </c>
      <c r="R9" s="3">
        <f t="shared" si="8"/>
        <v>0.22360679774997261</v>
      </c>
      <c r="S9" s="3">
        <f t="shared" si="8"/>
        <v>0.13944333775568379</v>
      </c>
      <c r="U9" s="3">
        <f>STDEV(U3:U7)</f>
        <v>0.10256705123959366</v>
      </c>
      <c r="V9" s="3">
        <f>STDEV(V3:V7)</f>
        <v>0.47109447035520086</v>
      </c>
      <c r="Z9" s="3">
        <f>STDEV(Z3:Z7)</f>
        <v>1.2107494393495626</v>
      </c>
      <c r="AA9" s="3">
        <f>STDEV(AA3:AA7)</f>
        <v>0.92566208737308964</v>
      </c>
    </row>
    <row r="11" spans="1:27">
      <c r="A11" s="3">
        <f>A3+1</f>
        <v>1</v>
      </c>
      <c r="B11" s="3">
        <v>1</v>
      </c>
      <c r="C11" s="3">
        <v>23</v>
      </c>
      <c r="D11" s="3">
        <v>1</v>
      </c>
      <c r="E11" s="3">
        <f>LOG10(C11/(10^(-D11)))</f>
        <v>2.3617278360175931</v>
      </c>
      <c r="F11" s="3">
        <v>0</v>
      </c>
      <c r="G11" s="3">
        <v>0</v>
      </c>
      <c r="H11" s="3" t="e">
        <f>LOG10(F11/(10^(-G11)))</f>
        <v>#NUM!</v>
      </c>
      <c r="I11" s="3">
        <v>0</v>
      </c>
      <c r="J11" s="3">
        <v>0</v>
      </c>
      <c r="K11" s="3" t="e">
        <f>LOG10(I11/(10^(-J11)))</f>
        <v>#NUM!</v>
      </c>
      <c r="L11" s="3">
        <v>0</v>
      </c>
      <c r="M11" s="3">
        <v>0</v>
      </c>
      <c r="N11" s="3" t="e">
        <f>LOG10(L11/(10^(-M11)))</f>
        <v>#NUM!</v>
      </c>
      <c r="P11" s="3">
        <v>8.5</v>
      </c>
      <c r="Q11" s="3">
        <v>9</v>
      </c>
      <c r="R11" s="3">
        <v>8.5</v>
      </c>
      <c r="S11" s="3">
        <f>AVERAGE(P11:R11)</f>
        <v>8.6666666666666661</v>
      </c>
      <c r="U11" s="3">
        <v>5.82</v>
      </c>
      <c r="V11" s="3">
        <v>52.69</v>
      </c>
    </row>
    <row r="12" spans="1:27">
      <c r="A12" s="3">
        <f>A11</f>
        <v>1</v>
      </c>
      <c r="B12" s="3">
        <v>2</v>
      </c>
      <c r="C12" s="3">
        <v>27</v>
      </c>
      <c r="D12" s="3">
        <v>1</v>
      </c>
      <c r="E12" s="3">
        <f t="shared" ref="E12:E15" si="9">LOG10(C12/(10^(-D12)))</f>
        <v>2.4313637641589874</v>
      </c>
      <c r="F12" s="3">
        <v>0</v>
      </c>
      <c r="G12" s="3">
        <v>0</v>
      </c>
      <c r="H12" s="3" t="e">
        <f t="shared" ref="H12:H15" si="10">LOG10(F12/(10^(-G12)))</f>
        <v>#NUM!</v>
      </c>
      <c r="I12" s="3">
        <v>0</v>
      </c>
      <c r="J12" s="3">
        <v>0</v>
      </c>
      <c r="K12" s="3" t="e">
        <f t="shared" ref="K12:K15" si="11">LOG10(I12/(10^(-J12)))</f>
        <v>#NUM!</v>
      </c>
      <c r="L12" s="3">
        <v>0</v>
      </c>
      <c r="M12" s="3">
        <v>0</v>
      </c>
      <c r="N12" s="3" t="e">
        <f t="shared" ref="N12:N15" si="12">LOG10(L12/(10^(-M12)))</f>
        <v>#NUM!</v>
      </c>
      <c r="P12" s="3">
        <v>8.5</v>
      </c>
      <c r="Q12" s="3">
        <v>8.5</v>
      </c>
      <c r="R12" s="3">
        <v>8.5</v>
      </c>
      <c r="S12" s="3">
        <f t="shared" ref="S12:S15" si="13">AVERAGE(P12:R12)</f>
        <v>8.5</v>
      </c>
      <c r="U12" s="3">
        <v>5.67</v>
      </c>
      <c r="V12" s="3">
        <v>52.92</v>
      </c>
    </row>
    <row r="13" spans="1:27">
      <c r="A13" s="3">
        <f t="shared" ref="A13:A15" si="14">A12</f>
        <v>1</v>
      </c>
      <c r="B13" s="3">
        <v>3</v>
      </c>
      <c r="C13" s="3">
        <v>41</v>
      </c>
      <c r="D13" s="3">
        <v>1</v>
      </c>
      <c r="E13" s="3">
        <f t="shared" si="9"/>
        <v>2.6127838567197355</v>
      </c>
      <c r="F13" s="3">
        <v>0</v>
      </c>
      <c r="G13" s="3">
        <v>0</v>
      </c>
      <c r="H13" s="3" t="e">
        <f t="shared" si="10"/>
        <v>#NUM!</v>
      </c>
      <c r="I13" s="3">
        <v>0</v>
      </c>
      <c r="J13" s="3">
        <v>0</v>
      </c>
      <c r="K13" s="3" t="e">
        <f t="shared" si="11"/>
        <v>#NUM!</v>
      </c>
      <c r="L13" s="3">
        <v>1</v>
      </c>
      <c r="M13" s="3">
        <v>0</v>
      </c>
      <c r="N13" s="3">
        <f t="shared" si="12"/>
        <v>0</v>
      </c>
      <c r="P13" s="3">
        <v>9</v>
      </c>
      <c r="Q13" s="3">
        <v>8</v>
      </c>
      <c r="R13" s="3">
        <v>9</v>
      </c>
      <c r="S13" s="3">
        <f t="shared" si="13"/>
        <v>8.6666666666666661</v>
      </c>
      <c r="U13" s="3">
        <v>5.74</v>
      </c>
      <c r="V13" s="3">
        <v>52.97</v>
      </c>
    </row>
    <row r="14" spans="1:27">
      <c r="A14" s="3">
        <f t="shared" si="14"/>
        <v>1</v>
      </c>
      <c r="B14" s="3">
        <v>4</v>
      </c>
      <c r="C14" s="3">
        <v>39</v>
      </c>
      <c r="D14" s="3">
        <v>1</v>
      </c>
      <c r="E14" s="3">
        <f t="shared" si="9"/>
        <v>2.5910646070264991</v>
      </c>
      <c r="F14" s="3">
        <v>0</v>
      </c>
      <c r="G14" s="3">
        <v>0</v>
      </c>
      <c r="H14" s="3" t="e">
        <f t="shared" si="10"/>
        <v>#NUM!</v>
      </c>
      <c r="I14" s="3">
        <v>0</v>
      </c>
      <c r="J14" s="3">
        <v>0</v>
      </c>
      <c r="K14" s="3" t="e">
        <f t="shared" si="11"/>
        <v>#NUM!</v>
      </c>
      <c r="L14" s="3">
        <v>0</v>
      </c>
      <c r="M14" s="3">
        <v>0</v>
      </c>
      <c r="N14" s="3" t="e">
        <f t="shared" si="12"/>
        <v>#NUM!</v>
      </c>
      <c r="P14" s="3">
        <v>8.5</v>
      </c>
      <c r="Q14" s="3">
        <v>8.5</v>
      </c>
      <c r="R14" s="3">
        <v>8</v>
      </c>
      <c r="S14" s="3">
        <f t="shared" si="13"/>
        <v>8.3333333333333339</v>
      </c>
      <c r="U14" s="3">
        <v>5.91</v>
      </c>
      <c r="V14" s="3">
        <v>52.38</v>
      </c>
    </row>
    <row r="15" spans="1:27">
      <c r="A15" s="3">
        <f t="shared" si="14"/>
        <v>1</v>
      </c>
      <c r="B15" s="3">
        <v>5</v>
      </c>
      <c r="C15" s="3">
        <v>31</v>
      </c>
      <c r="D15" s="3">
        <v>1</v>
      </c>
      <c r="E15" s="3">
        <f t="shared" si="9"/>
        <v>2.4913616938342726</v>
      </c>
      <c r="F15" s="3">
        <v>0</v>
      </c>
      <c r="G15" s="3">
        <v>0</v>
      </c>
      <c r="H15" s="3" t="e">
        <f t="shared" si="10"/>
        <v>#NUM!</v>
      </c>
      <c r="I15" s="3">
        <v>0</v>
      </c>
      <c r="J15" s="3">
        <v>0</v>
      </c>
      <c r="K15" s="3" t="e">
        <f t="shared" si="11"/>
        <v>#NUM!</v>
      </c>
      <c r="L15" s="3">
        <v>0</v>
      </c>
      <c r="M15" s="3">
        <v>0</v>
      </c>
      <c r="N15" s="3" t="e">
        <f t="shared" si="12"/>
        <v>#NUM!</v>
      </c>
      <c r="P15" s="3">
        <v>8.5</v>
      </c>
      <c r="Q15" s="3">
        <v>8.5</v>
      </c>
      <c r="R15" s="3">
        <v>8.5</v>
      </c>
      <c r="S15" s="3">
        <f t="shared" si="13"/>
        <v>8.5</v>
      </c>
      <c r="U15" s="3">
        <v>5.76</v>
      </c>
      <c r="V15" s="3">
        <v>52.04</v>
      </c>
    </row>
    <row r="16" spans="1:27">
      <c r="B16" s="3" t="s">
        <v>21</v>
      </c>
      <c r="E16" s="3">
        <f>AVERAGE(E11:E15)</f>
        <v>2.497660351551418</v>
      </c>
      <c r="H16" s="3" t="e">
        <f>AVERAGE(H11:H15)</f>
        <v>#NUM!</v>
      </c>
      <c r="K16" s="3" t="e">
        <f>AVERAGE(K11:K15)</f>
        <v>#NUM!</v>
      </c>
      <c r="N16" s="3" t="e">
        <f>AVERAGE(N11:N15)</f>
        <v>#NUM!</v>
      </c>
      <c r="P16" s="3">
        <f t="shared" ref="P16:S16" si="15">AVERAGE(P11:P15)</f>
        <v>8.6</v>
      </c>
      <c r="Q16" s="3">
        <f t="shared" si="15"/>
        <v>8.5</v>
      </c>
      <c r="R16" s="3">
        <f t="shared" si="15"/>
        <v>8.5</v>
      </c>
      <c r="S16" s="3">
        <f t="shared" si="15"/>
        <v>8.5333333333333332</v>
      </c>
      <c r="U16" s="3">
        <f>AVERAGE(U11:U15)</f>
        <v>5.7799999999999994</v>
      </c>
      <c r="V16" s="3">
        <f>AVERAGE(V11:V15)</f>
        <v>52.6</v>
      </c>
    </row>
    <row r="17" spans="1:22">
      <c r="B17" s="3" t="s">
        <v>22</v>
      </c>
      <c r="E17" s="3">
        <f>STDEV(E11:E15)</f>
        <v>0.10593669778617969</v>
      </c>
      <c r="H17" s="3" t="e">
        <f>STDEV(H11:H15)</f>
        <v>#NUM!</v>
      </c>
      <c r="K17" s="3" t="e">
        <f>STDEV(K11:K15)</f>
        <v>#NUM!</v>
      </c>
      <c r="N17" s="3" t="e">
        <f>STDEV(N11:N15)</f>
        <v>#NUM!</v>
      </c>
      <c r="P17" s="3">
        <f t="shared" ref="P17:S17" si="16">STDEV(P11:P15)</f>
        <v>0.22360679774997261</v>
      </c>
      <c r="Q17" s="3">
        <f t="shared" si="16"/>
        <v>0.35355339059327379</v>
      </c>
      <c r="R17" s="3">
        <f t="shared" si="16"/>
        <v>0.35355339059327379</v>
      </c>
      <c r="S17" s="3">
        <f t="shared" si="16"/>
        <v>0.13944333775568379</v>
      </c>
      <c r="U17" s="3">
        <f>STDEV(U11:U15)</f>
        <v>9.0277350426341968E-2</v>
      </c>
      <c r="V17" s="3">
        <f>STDEV(V11:V15)</f>
        <v>0.39032038122527257</v>
      </c>
    </row>
    <row r="19" spans="1:22">
      <c r="A19" s="3">
        <f>A11+1</f>
        <v>2</v>
      </c>
      <c r="B19" s="3">
        <v>1</v>
      </c>
      <c r="C19" s="3">
        <v>43</v>
      </c>
      <c r="D19" s="3">
        <v>1</v>
      </c>
      <c r="E19" s="3">
        <f>LOG10(C19/(10^(-D19)))</f>
        <v>2.6334684555795866</v>
      </c>
      <c r="F19" s="3">
        <v>0</v>
      </c>
      <c r="G19" s="3">
        <v>0</v>
      </c>
      <c r="H19" s="3" t="e">
        <f>LOG10(F19/(10^(-G19)))</f>
        <v>#NUM!</v>
      </c>
      <c r="I19" s="3">
        <v>0</v>
      </c>
      <c r="J19" s="3">
        <v>0</v>
      </c>
      <c r="K19" s="3" t="e">
        <f>LOG10(I19/(10^(-J19)))</f>
        <v>#NUM!</v>
      </c>
      <c r="L19" s="3">
        <v>2</v>
      </c>
      <c r="M19" s="3">
        <v>0</v>
      </c>
      <c r="N19" s="3">
        <f>LOG10(L19/(10^(-M19)))</f>
        <v>0.3010299956639812</v>
      </c>
      <c r="P19" s="3">
        <v>8</v>
      </c>
      <c r="Q19" s="3">
        <v>8.5</v>
      </c>
      <c r="R19" s="3">
        <v>8</v>
      </c>
      <c r="S19" s="3">
        <f>AVERAGE(P19:R19)</f>
        <v>8.1666666666666661</v>
      </c>
      <c r="U19" s="3">
        <v>5.82</v>
      </c>
      <c r="V19" s="3">
        <v>52.68</v>
      </c>
    </row>
    <row r="20" spans="1:22">
      <c r="A20" s="3">
        <f>A19</f>
        <v>2</v>
      </c>
      <c r="B20" s="3">
        <v>2</v>
      </c>
      <c r="C20" s="3">
        <v>55</v>
      </c>
      <c r="D20" s="3">
        <v>1</v>
      </c>
      <c r="E20" s="3">
        <f t="shared" ref="E20:E23" si="17">LOG10(C20/(10^(-D20)))</f>
        <v>2.7403626894942437</v>
      </c>
      <c r="F20" s="3">
        <v>0</v>
      </c>
      <c r="G20" s="3">
        <v>0</v>
      </c>
      <c r="H20" s="3" t="e">
        <f t="shared" ref="H20:H23" si="18">LOG10(F20/(10^(-G20)))</f>
        <v>#NUM!</v>
      </c>
      <c r="I20" s="3">
        <v>0</v>
      </c>
      <c r="J20" s="3">
        <v>0</v>
      </c>
      <c r="K20" s="3" t="e">
        <f t="shared" ref="K20:K23" si="19">LOG10(I20/(10^(-J20)))</f>
        <v>#NUM!</v>
      </c>
      <c r="L20" s="3">
        <v>1</v>
      </c>
      <c r="M20" s="3">
        <v>0</v>
      </c>
      <c r="N20" s="3">
        <f t="shared" ref="N20:N23" si="20">LOG10(L20/(10^(-M20)))</f>
        <v>0</v>
      </c>
      <c r="P20" s="3">
        <v>8.5</v>
      </c>
      <c r="Q20" s="3">
        <v>8.5</v>
      </c>
      <c r="R20" s="3">
        <v>8.5</v>
      </c>
      <c r="S20" s="3">
        <f t="shared" ref="S20:S23" si="21">AVERAGE(P20:R20)</f>
        <v>8.5</v>
      </c>
      <c r="U20" s="3">
        <v>5.65</v>
      </c>
      <c r="V20" s="3">
        <v>51.7</v>
      </c>
    </row>
    <row r="21" spans="1:22">
      <c r="A21" s="3">
        <f t="shared" ref="A21:A23" si="22">A20</f>
        <v>2</v>
      </c>
      <c r="B21" s="3">
        <v>3</v>
      </c>
      <c r="C21" s="3">
        <v>76</v>
      </c>
      <c r="D21" s="3">
        <v>1</v>
      </c>
      <c r="E21" s="3">
        <f t="shared" si="17"/>
        <v>2.8808135922807914</v>
      </c>
      <c r="F21" s="3">
        <v>0</v>
      </c>
      <c r="G21" s="3">
        <v>0</v>
      </c>
      <c r="H21" s="3" t="e">
        <f t="shared" si="18"/>
        <v>#NUM!</v>
      </c>
      <c r="I21" s="3">
        <v>1</v>
      </c>
      <c r="J21" s="3">
        <v>0</v>
      </c>
      <c r="K21" s="3">
        <f t="shared" si="19"/>
        <v>0</v>
      </c>
      <c r="L21" s="3">
        <v>2</v>
      </c>
      <c r="M21" s="3">
        <v>0</v>
      </c>
      <c r="N21" s="3">
        <f t="shared" si="20"/>
        <v>0.3010299956639812</v>
      </c>
      <c r="P21" s="3">
        <v>8.5</v>
      </c>
      <c r="Q21" s="3">
        <v>8</v>
      </c>
      <c r="R21" s="3">
        <v>8.5</v>
      </c>
      <c r="S21" s="3">
        <f t="shared" si="21"/>
        <v>8.3333333333333339</v>
      </c>
      <c r="U21" s="3">
        <v>5.79</v>
      </c>
      <c r="V21" s="3">
        <v>52.23</v>
      </c>
    </row>
    <row r="22" spans="1:22">
      <c r="A22" s="3">
        <f t="shared" si="22"/>
        <v>2</v>
      </c>
      <c r="B22" s="3">
        <v>4</v>
      </c>
      <c r="C22" s="3">
        <v>77</v>
      </c>
      <c r="D22" s="3">
        <v>1</v>
      </c>
      <c r="E22" s="3">
        <f t="shared" si="17"/>
        <v>2.8864907251724818</v>
      </c>
      <c r="F22" s="3">
        <v>0</v>
      </c>
      <c r="G22" s="3">
        <v>0</v>
      </c>
      <c r="H22" s="3" t="e">
        <f t="shared" si="18"/>
        <v>#NUM!</v>
      </c>
      <c r="I22" s="3">
        <v>0</v>
      </c>
      <c r="J22" s="3">
        <v>0</v>
      </c>
      <c r="K22" s="3" t="e">
        <f t="shared" si="19"/>
        <v>#NUM!</v>
      </c>
      <c r="L22" s="3">
        <v>2</v>
      </c>
      <c r="M22" s="3">
        <v>0</v>
      </c>
      <c r="N22" s="3">
        <f t="shared" si="20"/>
        <v>0.3010299956639812</v>
      </c>
      <c r="P22" s="3">
        <v>8.5</v>
      </c>
      <c r="Q22" s="3">
        <v>8.5</v>
      </c>
      <c r="R22" s="3">
        <v>8</v>
      </c>
      <c r="S22" s="3">
        <f t="shared" si="21"/>
        <v>8.3333333333333339</v>
      </c>
      <c r="U22" s="3">
        <v>5.73</v>
      </c>
      <c r="V22" s="3">
        <v>52.48</v>
      </c>
    </row>
    <row r="23" spans="1:22">
      <c r="A23" s="3">
        <f t="shared" si="22"/>
        <v>2</v>
      </c>
      <c r="B23" s="3">
        <v>5</v>
      </c>
      <c r="C23" s="3">
        <v>75</v>
      </c>
      <c r="D23" s="3">
        <v>1</v>
      </c>
      <c r="E23" s="3">
        <f t="shared" si="17"/>
        <v>2.8750612633917001</v>
      </c>
      <c r="F23" s="3">
        <v>0</v>
      </c>
      <c r="G23" s="3">
        <v>0</v>
      </c>
      <c r="H23" s="3" t="e">
        <f t="shared" si="18"/>
        <v>#NUM!</v>
      </c>
      <c r="I23" s="3">
        <v>0</v>
      </c>
      <c r="J23" s="3">
        <v>0</v>
      </c>
      <c r="K23" s="3" t="e">
        <f t="shared" si="19"/>
        <v>#NUM!</v>
      </c>
      <c r="L23" s="3">
        <v>2</v>
      </c>
      <c r="M23" s="3">
        <v>0</v>
      </c>
      <c r="N23" s="3">
        <f t="shared" si="20"/>
        <v>0.3010299956639812</v>
      </c>
      <c r="P23" s="3">
        <v>8</v>
      </c>
      <c r="Q23" s="3">
        <v>8.5</v>
      </c>
      <c r="R23" s="3">
        <v>8.5</v>
      </c>
      <c r="S23" s="3">
        <f t="shared" si="21"/>
        <v>8.3333333333333339</v>
      </c>
      <c r="U23" s="3">
        <v>5.57</v>
      </c>
      <c r="V23" s="3">
        <v>52.07</v>
      </c>
    </row>
    <row r="24" spans="1:22">
      <c r="B24" s="3" t="s">
        <v>21</v>
      </c>
      <c r="E24" s="3">
        <f>AVERAGE(E19:E23)</f>
        <v>2.8032393451837607</v>
      </c>
      <c r="H24" s="3" t="e">
        <f>AVERAGE(H19:H23)</f>
        <v>#NUM!</v>
      </c>
      <c r="K24" s="3" t="e">
        <f>AVERAGE(K19:K23)</f>
        <v>#NUM!</v>
      </c>
      <c r="N24" s="3">
        <f>AVERAGE(N19:N23)</f>
        <v>0.24082399653118497</v>
      </c>
      <c r="P24" s="3">
        <f t="shared" ref="P24:S24" si="23">AVERAGE(P19:P23)</f>
        <v>8.3000000000000007</v>
      </c>
      <c r="Q24" s="3">
        <f t="shared" si="23"/>
        <v>8.4</v>
      </c>
      <c r="R24" s="3">
        <f t="shared" si="23"/>
        <v>8.3000000000000007</v>
      </c>
      <c r="S24" s="3">
        <f t="shared" si="23"/>
        <v>8.3333333333333339</v>
      </c>
      <c r="U24" s="3">
        <f>AVERAGE(U19:U23)</f>
        <v>5.7120000000000006</v>
      </c>
      <c r="V24" s="3">
        <f>AVERAGE(V19:V23)</f>
        <v>52.231999999999992</v>
      </c>
    </row>
    <row r="25" spans="1:22">
      <c r="B25" s="3" t="s">
        <v>22</v>
      </c>
      <c r="E25" s="3">
        <f>STDEV(E19:E23)</f>
        <v>0.11278582890312856</v>
      </c>
      <c r="H25" s="3" t="e">
        <f>STDEV(H19:H23)</f>
        <v>#NUM!</v>
      </c>
      <c r="K25" s="3" t="e">
        <f>STDEV(K19:K23)</f>
        <v>#NUM!</v>
      </c>
      <c r="N25" s="3">
        <f>STDEV(N19:N23)</f>
        <v>0.1346247067142258</v>
      </c>
      <c r="P25" s="3">
        <f t="shared" ref="P25:S25" si="24">STDEV(P19:P23)</f>
        <v>0.27386127875258826</v>
      </c>
      <c r="Q25" s="3">
        <f t="shared" si="24"/>
        <v>0.22360679774997261</v>
      </c>
      <c r="R25" s="3">
        <f t="shared" si="24"/>
        <v>0.27386127875258826</v>
      </c>
      <c r="S25" s="3">
        <f t="shared" si="24"/>
        <v>0.11785113019774453</v>
      </c>
      <c r="U25" s="3">
        <f>STDEV(U19:U23)</f>
        <v>0.10256705123966293</v>
      </c>
      <c r="V25" s="3">
        <f>STDEV(V19:V23)</f>
        <v>0.3779814810292158</v>
      </c>
    </row>
    <row r="27" spans="1:22">
      <c r="A27" s="3">
        <f>A19+1</f>
        <v>3</v>
      </c>
      <c r="B27" s="3">
        <v>1</v>
      </c>
      <c r="C27" s="3">
        <v>7</v>
      </c>
      <c r="D27" s="3">
        <v>2</v>
      </c>
      <c r="E27" s="3">
        <f>LOG10(C27/(10^(-D27)))</f>
        <v>2.8450980400142569</v>
      </c>
      <c r="F27" s="3">
        <v>0</v>
      </c>
      <c r="G27" s="3">
        <v>0</v>
      </c>
      <c r="H27" s="3" t="e">
        <f>LOG10(F27/(10^(-G27)))</f>
        <v>#NUM!</v>
      </c>
      <c r="I27" s="3">
        <v>1</v>
      </c>
      <c r="J27" s="3">
        <v>0</v>
      </c>
      <c r="K27" s="3">
        <f>LOG10(I27/(10^(-J27)))</f>
        <v>0</v>
      </c>
      <c r="L27" s="3">
        <v>5</v>
      </c>
      <c r="M27" s="3">
        <v>0</v>
      </c>
      <c r="N27" s="3">
        <f>LOG10(L27/(10^(-M27)))</f>
        <v>0.69897000433601886</v>
      </c>
      <c r="P27" s="3">
        <v>8</v>
      </c>
      <c r="Q27" s="3">
        <v>8</v>
      </c>
      <c r="R27" s="3">
        <v>8</v>
      </c>
      <c r="S27" s="3">
        <f>AVERAGE(P27:R27)</f>
        <v>8</v>
      </c>
      <c r="U27" s="3">
        <v>5.63</v>
      </c>
      <c r="V27" s="3">
        <v>51.22</v>
      </c>
    </row>
    <row r="28" spans="1:22">
      <c r="A28" s="3">
        <f>A27</f>
        <v>3</v>
      </c>
      <c r="B28" s="3">
        <v>2</v>
      </c>
      <c r="C28" s="3">
        <v>14</v>
      </c>
      <c r="D28" s="3">
        <v>2</v>
      </c>
      <c r="E28" s="3">
        <f t="shared" ref="E28:E31" si="25">LOG10(C28/(10^(-D28)))</f>
        <v>3.1461280356782382</v>
      </c>
      <c r="F28" s="3">
        <v>0</v>
      </c>
      <c r="G28" s="3">
        <v>0</v>
      </c>
      <c r="H28" s="3" t="e">
        <f t="shared" ref="H28:H31" si="26">LOG10(F28/(10^(-G28)))</f>
        <v>#NUM!</v>
      </c>
      <c r="I28" s="3">
        <v>3</v>
      </c>
      <c r="J28" s="3">
        <v>0</v>
      </c>
      <c r="K28" s="3">
        <f t="shared" ref="K28:K31" si="27">LOG10(I28/(10^(-J28)))</f>
        <v>0.47712125471966244</v>
      </c>
      <c r="L28" s="3">
        <v>7</v>
      </c>
      <c r="M28" s="3">
        <v>0</v>
      </c>
      <c r="N28" s="3">
        <f t="shared" ref="N28:N31" si="28">LOG10(L28/(10^(-M28)))</f>
        <v>0.84509804001425681</v>
      </c>
      <c r="P28" s="3">
        <v>8</v>
      </c>
      <c r="Q28" s="3">
        <v>8.5</v>
      </c>
      <c r="R28" s="3">
        <v>8</v>
      </c>
      <c r="S28" s="3">
        <f t="shared" ref="S28:S31" si="29">AVERAGE(P28:R28)</f>
        <v>8.1666666666666661</v>
      </c>
      <c r="U28" s="3">
        <v>5.69</v>
      </c>
      <c r="V28" s="3">
        <v>52.6</v>
      </c>
    </row>
    <row r="29" spans="1:22">
      <c r="A29" s="3">
        <f t="shared" ref="A29:A31" si="30">A28</f>
        <v>3</v>
      </c>
      <c r="B29" s="3">
        <v>3</v>
      </c>
      <c r="C29" s="3">
        <v>11</v>
      </c>
      <c r="D29" s="3">
        <v>2</v>
      </c>
      <c r="E29" s="3">
        <f t="shared" si="25"/>
        <v>3.0413926851582249</v>
      </c>
      <c r="F29" s="3">
        <v>0</v>
      </c>
      <c r="G29" s="3">
        <v>0</v>
      </c>
      <c r="H29" s="3" t="e">
        <f t="shared" si="26"/>
        <v>#NUM!</v>
      </c>
      <c r="I29" s="3">
        <v>3</v>
      </c>
      <c r="J29" s="3">
        <v>0</v>
      </c>
      <c r="K29" s="3">
        <f t="shared" si="27"/>
        <v>0.47712125471966244</v>
      </c>
      <c r="L29" s="3">
        <v>6</v>
      </c>
      <c r="M29" s="3">
        <v>0</v>
      </c>
      <c r="N29" s="3">
        <f t="shared" si="28"/>
        <v>0.77815125038364363</v>
      </c>
      <c r="P29" s="3">
        <v>8</v>
      </c>
      <c r="Q29" s="3">
        <v>8</v>
      </c>
      <c r="R29" s="3">
        <v>8.5</v>
      </c>
      <c r="S29" s="3">
        <f t="shared" si="29"/>
        <v>8.1666666666666661</v>
      </c>
      <c r="U29" s="3">
        <v>5.64</v>
      </c>
      <c r="V29" s="3">
        <v>52.01</v>
      </c>
    </row>
    <row r="30" spans="1:22">
      <c r="A30" s="3">
        <f t="shared" si="30"/>
        <v>3</v>
      </c>
      <c r="B30" s="3">
        <v>4</v>
      </c>
      <c r="C30" s="3">
        <v>9</v>
      </c>
      <c r="D30" s="3">
        <v>2</v>
      </c>
      <c r="E30" s="3">
        <f t="shared" si="25"/>
        <v>2.9542425094393248</v>
      </c>
      <c r="F30" s="3">
        <v>0</v>
      </c>
      <c r="G30" s="3">
        <v>0</v>
      </c>
      <c r="H30" s="3" t="e">
        <f t="shared" si="26"/>
        <v>#NUM!</v>
      </c>
      <c r="I30" s="3">
        <v>2</v>
      </c>
      <c r="J30" s="3">
        <v>0</v>
      </c>
      <c r="K30" s="3">
        <f t="shared" si="27"/>
        <v>0.3010299956639812</v>
      </c>
      <c r="L30" s="3">
        <v>5</v>
      </c>
      <c r="M30" s="3">
        <v>0</v>
      </c>
      <c r="N30" s="3">
        <f t="shared" si="28"/>
        <v>0.69897000433601886</v>
      </c>
      <c r="P30" s="3">
        <v>8</v>
      </c>
      <c r="Q30" s="3">
        <v>8</v>
      </c>
      <c r="R30" s="3">
        <v>7.5</v>
      </c>
      <c r="S30" s="3">
        <f t="shared" si="29"/>
        <v>7.833333333333333</v>
      </c>
      <c r="U30" s="3">
        <v>5.56</v>
      </c>
      <c r="V30" s="3">
        <v>51.9</v>
      </c>
    </row>
    <row r="31" spans="1:22">
      <c r="A31" s="3">
        <f t="shared" si="30"/>
        <v>3</v>
      </c>
      <c r="B31" s="3">
        <v>5</v>
      </c>
      <c r="C31" s="3">
        <v>12</v>
      </c>
      <c r="D31" s="3">
        <v>2</v>
      </c>
      <c r="E31" s="3">
        <f t="shared" si="25"/>
        <v>3.0791812460476247</v>
      </c>
      <c r="F31" s="3">
        <v>0</v>
      </c>
      <c r="G31" s="3">
        <v>0</v>
      </c>
      <c r="H31" s="3" t="e">
        <f t="shared" si="26"/>
        <v>#NUM!</v>
      </c>
      <c r="I31" s="3">
        <v>2</v>
      </c>
      <c r="J31" s="3">
        <v>0</v>
      </c>
      <c r="K31" s="3">
        <f t="shared" si="27"/>
        <v>0.3010299956639812</v>
      </c>
      <c r="L31" s="3">
        <v>3</v>
      </c>
      <c r="M31" s="3">
        <v>0</v>
      </c>
      <c r="N31" s="3">
        <f t="shared" si="28"/>
        <v>0.47712125471966244</v>
      </c>
      <c r="P31" s="3">
        <v>7.5</v>
      </c>
      <c r="Q31" s="3">
        <v>8.5</v>
      </c>
      <c r="R31" s="3">
        <v>8</v>
      </c>
      <c r="S31" s="3">
        <f t="shared" si="29"/>
        <v>8</v>
      </c>
      <c r="U31" s="3">
        <v>5.69</v>
      </c>
      <c r="V31" s="3">
        <v>51.65</v>
      </c>
    </row>
    <row r="32" spans="1:22">
      <c r="B32" s="3" t="s">
        <v>21</v>
      </c>
      <c r="E32" s="3">
        <f>AVERAGE(E27:E31)</f>
        <v>3.013208503267534</v>
      </c>
      <c r="H32" s="3" t="e">
        <f>AVERAGE(H27:H31)</f>
        <v>#NUM!</v>
      </c>
      <c r="K32" s="3">
        <f>AVERAGE(K27:K31)</f>
        <v>0.31126050015345746</v>
      </c>
      <c r="N32" s="3">
        <f>AVERAGE(N27:N31)</f>
        <v>0.69966211075792017</v>
      </c>
      <c r="P32" s="3">
        <f t="shared" ref="P32:S32" si="31">AVERAGE(P27:P31)</f>
        <v>7.9</v>
      </c>
      <c r="Q32" s="3">
        <f t="shared" si="31"/>
        <v>8.1999999999999993</v>
      </c>
      <c r="R32" s="3">
        <f t="shared" si="31"/>
        <v>8</v>
      </c>
      <c r="S32" s="3">
        <f t="shared" si="31"/>
        <v>8.0333333333333332</v>
      </c>
      <c r="U32" s="3">
        <f>AVERAGE(U27:U31)</f>
        <v>5.6420000000000003</v>
      </c>
      <c r="V32" s="3">
        <f>AVERAGE(V27:V31)</f>
        <v>51.875999999999998</v>
      </c>
    </row>
    <row r="33" spans="1:22">
      <c r="B33" s="3" t="s">
        <v>22</v>
      </c>
      <c r="E33" s="3">
        <f>STDEV(E27:E31)</f>
        <v>0.11678235020587116</v>
      </c>
      <c r="H33" s="3" t="e">
        <f>STDEV(H27:H31)</f>
        <v>#NUM!</v>
      </c>
      <c r="K33" s="3">
        <f>STDEV(K27:K31)</f>
        <v>0.19500769549593458</v>
      </c>
      <c r="N33" s="3">
        <f>STDEV(N27:N31)</f>
        <v>0.13859793034771406</v>
      </c>
      <c r="P33" s="3">
        <f t="shared" ref="P33:S33" si="32">STDEV(P27:P31)</f>
        <v>0.22360679774997261</v>
      </c>
      <c r="Q33" s="3">
        <f t="shared" si="32"/>
        <v>0.27386127875258826</v>
      </c>
      <c r="R33" s="3">
        <f t="shared" si="32"/>
        <v>0.35355339059327379</v>
      </c>
      <c r="S33" s="3">
        <f t="shared" si="32"/>
        <v>0.13944333775568379</v>
      </c>
      <c r="U33" s="3">
        <f>STDEV(U27:U31)</f>
        <v>5.357238094391583E-2</v>
      </c>
      <c r="V33" s="3">
        <f>STDEV(V27:V31)</f>
        <v>0.50599407111107042</v>
      </c>
    </row>
    <row r="35" spans="1:22">
      <c r="A35" s="3">
        <f>A27+1</f>
        <v>4</v>
      </c>
      <c r="B35" s="3">
        <v>1</v>
      </c>
      <c r="C35" s="3">
        <v>24</v>
      </c>
      <c r="D35" s="3">
        <v>2</v>
      </c>
      <c r="E35" s="3">
        <f>LOG10(C35/(10^(-D35)))</f>
        <v>3.3802112417116059</v>
      </c>
      <c r="F35" s="3">
        <v>0</v>
      </c>
      <c r="G35" s="3">
        <v>0</v>
      </c>
      <c r="H35" s="3" t="e">
        <f>LOG10(F35/(10^(-G35)))</f>
        <v>#NUM!</v>
      </c>
      <c r="I35" s="3">
        <v>2</v>
      </c>
      <c r="J35" s="3">
        <v>0</v>
      </c>
      <c r="K35" s="3">
        <f>LOG10(I35/(10^(-J35)))</f>
        <v>0.3010299956639812</v>
      </c>
      <c r="L35" s="3">
        <v>11</v>
      </c>
      <c r="M35" s="3">
        <v>0</v>
      </c>
      <c r="N35" s="3">
        <f>LOG10(L35/(10^(-M35)))</f>
        <v>1.0413926851582251</v>
      </c>
      <c r="P35" s="3">
        <v>7.5</v>
      </c>
      <c r="Q35" s="3">
        <v>7.5</v>
      </c>
      <c r="R35" s="3">
        <v>8</v>
      </c>
      <c r="S35" s="3">
        <f>AVERAGE(P35:R35)</f>
        <v>7.666666666666667</v>
      </c>
      <c r="U35" s="3">
        <v>5.54</v>
      </c>
      <c r="V35" s="3">
        <v>51.1</v>
      </c>
    </row>
    <row r="36" spans="1:22">
      <c r="A36" s="3">
        <f>A35</f>
        <v>4</v>
      </c>
      <c r="B36" s="3">
        <v>2</v>
      </c>
      <c r="C36" s="3">
        <v>26</v>
      </c>
      <c r="D36" s="3">
        <v>2</v>
      </c>
      <c r="E36" s="3">
        <f t="shared" ref="E36:E39" si="33">LOG10(C36/(10^(-D36)))</f>
        <v>3.4149733479708178</v>
      </c>
      <c r="F36" s="3">
        <v>1</v>
      </c>
      <c r="G36" s="3">
        <v>0</v>
      </c>
      <c r="H36" s="3">
        <f t="shared" ref="H36:H39" si="34">LOG10(F36/(10^(-G36)))</f>
        <v>0</v>
      </c>
      <c r="I36" s="3">
        <v>6</v>
      </c>
      <c r="J36" s="3">
        <v>0</v>
      </c>
      <c r="K36" s="3">
        <f t="shared" ref="K36:K39" si="35">LOG10(I36/(10^(-J36)))</f>
        <v>0.77815125038364363</v>
      </c>
      <c r="L36" s="3">
        <v>18</v>
      </c>
      <c r="M36" s="3">
        <v>0</v>
      </c>
      <c r="N36" s="3">
        <f t="shared" ref="N36:N39" si="36">LOG10(L36/(10^(-M36)))</f>
        <v>1.255272505103306</v>
      </c>
      <c r="P36" s="3">
        <v>8</v>
      </c>
      <c r="Q36" s="3">
        <v>8</v>
      </c>
      <c r="R36" s="3">
        <v>7.5</v>
      </c>
      <c r="S36" s="3">
        <f t="shared" ref="S36:S39" si="37">AVERAGE(P36:R36)</f>
        <v>7.833333333333333</v>
      </c>
      <c r="U36" s="3">
        <v>5.5</v>
      </c>
      <c r="V36" s="3">
        <v>50.63</v>
      </c>
    </row>
    <row r="37" spans="1:22">
      <c r="A37" s="3">
        <f t="shared" ref="A37:A39" si="38">A36</f>
        <v>4</v>
      </c>
      <c r="B37" s="3">
        <v>3</v>
      </c>
      <c r="C37" s="3">
        <v>14</v>
      </c>
      <c r="D37" s="3">
        <v>2</v>
      </c>
      <c r="E37" s="3">
        <f t="shared" si="33"/>
        <v>3.1461280356782382</v>
      </c>
      <c r="F37" s="3">
        <v>0</v>
      </c>
      <c r="G37" s="3">
        <v>0</v>
      </c>
      <c r="H37" s="3" t="e">
        <f t="shared" si="34"/>
        <v>#NUM!</v>
      </c>
      <c r="I37" s="3">
        <v>4</v>
      </c>
      <c r="J37" s="3">
        <v>0</v>
      </c>
      <c r="K37" s="3">
        <f t="shared" si="35"/>
        <v>0.6020599913279624</v>
      </c>
      <c r="L37" s="3">
        <v>15</v>
      </c>
      <c r="M37" s="3">
        <v>0</v>
      </c>
      <c r="N37" s="3">
        <f t="shared" si="36"/>
        <v>1.1760912590556813</v>
      </c>
      <c r="P37" s="3">
        <v>7.5</v>
      </c>
      <c r="Q37" s="3">
        <v>8</v>
      </c>
      <c r="R37" s="3">
        <v>8</v>
      </c>
      <c r="S37" s="3">
        <f t="shared" si="37"/>
        <v>7.833333333333333</v>
      </c>
      <c r="U37" s="3">
        <v>5.53</v>
      </c>
      <c r="V37" s="3">
        <v>52.21</v>
      </c>
    </row>
    <row r="38" spans="1:22">
      <c r="A38" s="3">
        <f t="shared" si="38"/>
        <v>4</v>
      </c>
      <c r="B38" s="3">
        <v>4</v>
      </c>
      <c r="C38" s="3">
        <v>24</v>
      </c>
      <c r="D38" s="3">
        <v>2</v>
      </c>
      <c r="E38" s="3">
        <f t="shared" si="33"/>
        <v>3.3802112417116059</v>
      </c>
      <c r="F38" s="3">
        <v>0</v>
      </c>
      <c r="G38" s="3">
        <v>0</v>
      </c>
      <c r="H38" s="3" t="e">
        <f t="shared" si="34"/>
        <v>#NUM!</v>
      </c>
      <c r="I38" s="3">
        <v>5</v>
      </c>
      <c r="J38" s="3">
        <v>0</v>
      </c>
      <c r="K38" s="3">
        <f t="shared" si="35"/>
        <v>0.69897000433601886</v>
      </c>
      <c r="L38" s="3">
        <v>13</v>
      </c>
      <c r="M38" s="3">
        <v>0</v>
      </c>
      <c r="N38" s="3">
        <f t="shared" si="36"/>
        <v>1.1139433523068367</v>
      </c>
      <c r="P38" s="3">
        <v>7.5</v>
      </c>
      <c r="Q38" s="3">
        <v>8</v>
      </c>
      <c r="R38" s="3">
        <v>7.5</v>
      </c>
      <c r="S38" s="3">
        <f t="shared" si="37"/>
        <v>7.666666666666667</v>
      </c>
      <c r="U38" s="3">
        <v>5.54</v>
      </c>
      <c r="V38" s="3">
        <v>52.08</v>
      </c>
    </row>
    <row r="39" spans="1:22">
      <c r="A39" s="3">
        <f t="shared" si="38"/>
        <v>4</v>
      </c>
      <c r="B39" s="3">
        <v>5</v>
      </c>
      <c r="C39" s="3">
        <v>31</v>
      </c>
      <c r="D39" s="3">
        <v>2</v>
      </c>
      <c r="E39" s="3">
        <f t="shared" si="33"/>
        <v>3.4913616938342726</v>
      </c>
      <c r="F39" s="3">
        <v>0</v>
      </c>
      <c r="G39" s="3">
        <v>0</v>
      </c>
      <c r="H39" s="3" t="e">
        <f t="shared" si="34"/>
        <v>#NUM!</v>
      </c>
      <c r="I39" s="3">
        <v>4</v>
      </c>
      <c r="J39" s="3">
        <v>0</v>
      </c>
      <c r="K39" s="3">
        <f t="shared" si="35"/>
        <v>0.6020599913279624</v>
      </c>
      <c r="L39" s="3">
        <v>8</v>
      </c>
      <c r="M39" s="3">
        <v>0</v>
      </c>
      <c r="N39" s="3">
        <f t="shared" si="36"/>
        <v>0.90308998699194354</v>
      </c>
      <c r="P39" s="3">
        <v>7</v>
      </c>
      <c r="Q39" s="3">
        <v>8</v>
      </c>
      <c r="R39" s="3">
        <v>7.5</v>
      </c>
      <c r="S39" s="3">
        <f t="shared" si="37"/>
        <v>7.5</v>
      </c>
      <c r="U39" s="3">
        <v>5.47</v>
      </c>
      <c r="V39" s="3">
        <v>51.48</v>
      </c>
    </row>
    <row r="40" spans="1:22">
      <c r="B40" s="3" t="s">
        <v>21</v>
      </c>
      <c r="E40" s="3">
        <f>AVERAGE(E35:E39)</f>
        <v>3.3625771121813082</v>
      </c>
      <c r="H40" s="3" t="e">
        <f>AVERAGE(H35:H39)</f>
        <v>#NUM!</v>
      </c>
      <c r="K40" s="3">
        <f>AVERAGE(K35:K39)</f>
        <v>0.59645424660791369</v>
      </c>
      <c r="N40" s="3">
        <f>AVERAGE(N35:N39)</f>
        <v>1.0979579577231986</v>
      </c>
      <c r="P40" s="3">
        <f t="shared" ref="P40:S40" si="39">AVERAGE(P35:P39)</f>
        <v>7.5</v>
      </c>
      <c r="Q40" s="3">
        <f t="shared" si="39"/>
        <v>7.9</v>
      </c>
      <c r="R40" s="3">
        <f t="shared" si="39"/>
        <v>7.7</v>
      </c>
      <c r="S40" s="3">
        <f t="shared" si="39"/>
        <v>7.7</v>
      </c>
      <c r="U40" s="3">
        <f>AVERAGE(U35:U39)</f>
        <v>5.516</v>
      </c>
      <c r="V40" s="3">
        <f>AVERAGE(V35:V39)</f>
        <v>51.5</v>
      </c>
    </row>
    <row r="41" spans="1:22">
      <c r="B41" s="3" t="s">
        <v>22</v>
      </c>
      <c r="E41" s="3">
        <f>STDEV(E35:E39)</f>
        <v>0.12923134465373928</v>
      </c>
      <c r="H41" s="3" t="e">
        <f>STDEV(H35:H39)</f>
        <v>#NUM!</v>
      </c>
      <c r="K41" s="3">
        <f>STDEV(K35:K39)</f>
        <v>0.18087400211000584</v>
      </c>
      <c r="N41" s="3">
        <f>STDEV(N35:N39)</f>
        <v>0.13442597266877246</v>
      </c>
      <c r="P41" s="3">
        <f t="shared" ref="P41:S41" si="40">STDEV(P35:P39)</f>
        <v>0.35355339059327379</v>
      </c>
      <c r="Q41" s="3">
        <f t="shared" si="40"/>
        <v>0.22360679774997261</v>
      </c>
      <c r="R41" s="3">
        <f t="shared" si="40"/>
        <v>0.27386127875258826</v>
      </c>
      <c r="S41" s="3">
        <f t="shared" si="40"/>
        <v>0.13944333775568379</v>
      </c>
      <c r="U41" s="3">
        <f>STDEV(U35:U39)</f>
        <v>3.0495901363953949E-2</v>
      </c>
      <c r="V41" s="3">
        <f>STDEV(V35:V39)</f>
        <v>0.66291025033548212</v>
      </c>
    </row>
    <row r="43" spans="1:22">
      <c r="A43" s="3">
        <f>A35+1</f>
        <v>5</v>
      </c>
      <c r="B43" s="3">
        <v>1</v>
      </c>
      <c r="C43" s="3">
        <v>31</v>
      </c>
      <c r="D43" s="3">
        <v>2</v>
      </c>
      <c r="E43" s="3">
        <f>LOG10(C43/(10^(-D43)))</f>
        <v>3.4913616938342726</v>
      </c>
      <c r="F43" s="3">
        <v>2</v>
      </c>
      <c r="G43" s="3">
        <v>0</v>
      </c>
      <c r="H43" s="3">
        <f>LOG10(F43/(10^(-G43)))</f>
        <v>0.3010299956639812</v>
      </c>
      <c r="I43" s="3">
        <v>5</v>
      </c>
      <c r="J43" s="3">
        <v>0</v>
      </c>
      <c r="K43" s="3">
        <f>LOG10(I43/(10^(-J43)))</f>
        <v>0.69897000433601886</v>
      </c>
      <c r="L43" s="3">
        <v>32</v>
      </c>
      <c r="M43" s="3">
        <v>0</v>
      </c>
      <c r="N43" s="3">
        <f>LOG10(L43/(10^(-M43)))</f>
        <v>1.505149978319906</v>
      </c>
      <c r="P43" s="3">
        <v>7</v>
      </c>
      <c r="Q43" s="3">
        <v>7</v>
      </c>
      <c r="R43" s="3">
        <v>7.5</v>
      </c>
      <c r="S43" s="3">
        <f>AVERAGE(P43:R43)</f>
        <v>7.166666666666667</v>
      </c>
      <c r="U43" s="3">
        <v>5.42</v>
      </c>
      <c r="V43" s="3">
        <v>51.2</v>
      </c>
    </row>
    <row r="44" spans="1:22">
      <c r="A44" s="3">
        <f>A43</f>
        <v>5</v>
      </c>
      <c r="B44" s="3">
        <v>2</v>
      </c>
      <c r="C44" s="3">
        <v>45</v>
      </c>
      <c r="D44" s="3">
        <v>2</v>
      </c>
      <c r="E44" s="3">
        <f t="shared" ref="E44:E47" si="41">LOG10(C44/(10^(-D44)))</f>
        <v>3.6532125137753435</v>
      </c>
      <c r="F44" s="3">
        <v>1</v>
      </c>
      <c r="G44" s="3">
        <v>0</v>
      </c>
      <c r="H44" s="3">
        <f t="shared" ref="H44:H47" si="42">LOG10(F44/(10^(-G44)))</f>
        <v>0</v>
      </c>
      <c r="I44" s="3">
        <v>7</v>
      </c>
      <c r="J44" s="3">
        <v>0</v>
      </c>
      <c r="K44" s="3">
        <f t="shared" ref="K44:K47" si="43">LOG10(I44/(10^(-J44)))</f>
        <v>0.84509804001425681</v>
      </c>
      <c r="L44" s="3">
        <v>32</v>
      </c>
      <c r="M44" s="3">
        <v>0</v>
      </c>
      <c r="N44" s="3">
        <f t="shared" ref="N44:N47" si="44">LOG10(L44/(10^(-M44)))</f>
        <v>1.505149978319906</v>
      </c>
      <c r="P44" s="3">
        <v>7.5</v>
      </c>
      <c r="Q44" s="3">
        <v>7.5</v>
      </c>
      <c r="R44" s="3">
        <v>7.5</v>
      </c>
      <c r="S44" s="3">
        <f t="shared" ref="S44:S47" si="45">AVERAGE(P44:R44)</f>
        <v>7.5</v>
      </c>
      <c r="U44" s="3">
        <v>5.5</v>
      </c>
      <c r="V44" s="3">
        <v>51.4</v>
      </c>
    </row>
    <row r="45" spans="1:22">
      <c r="A45" s="3">
        <f t="shared" ref="A45:A47" si="46">A44</f>
        <v>5</v>
      </c>
      <c r="B45" s="3">
        <v>3</v>
      </c>
      <c r="C45" s="3">
        <v>59</v>
      </c>
      <c r="D45" s="3">
        <v>2</v>
      </c>
      <c r="E45" s="3">
        <f t="shared" si="41"/>
        <v>3.7708520116421442</v>
      </c>
      <c r="F45" s="3">
        <v>2</v>
      </c>
      <c r="G45" s="3">
        <v>0</v>
      </c>
      <c r="H45" s="3">
        <f t="shared" si="42"/>
        <v>0.3010299956639812</v>
      </c>
      <c r="I45" s="3">
        <v>4</v>
      </c>
      <c r="J45" s="3">
        <v>0</v>
      </c>
      <c r="K45" s="3">
        <f t="shared" si="43"/>
        <v>0.6020599913279624</v>
      </c>
      <c r="L45" s="3">
        <v>21</v>
      </c>
      <c r="M45" s="3">
        <v>0</v>
      </c>
      <c r="N45" s="3">
        <f t="shared" si="44"/>
        <v>1.3222192947339193</v>
      </c>
      <c r="P45" s="3">
        <v>7</v>
      </c>
      <c r="Q45" s="3">
        <v>7.5</v>
      </c>
      <c r="R45" s="3">
        <v>7</v>
      </c>
      <c r="S45" s="3">
        <f t="shared" si="45"/>
        <v>7.166666666666667</v>
      </c>
      <c r="U45" s="3">
        <v>5.48</v>
      </c>
      <c r="V45" s="3">
        <v>50.62</v>
      </c>
    </row>
    <row r="46" spans="1:22">
      <c r="A46" s="3">
        <f t="shared" si="46"/>
        <v>5</v>
      </c>
      <c r="B46" s="3">
        <v>4</v>
      </c>
      <c r="C46" s="3">
        <v>50</v>
      </c>
      <c r="D46" s="3">
        <v>2</v>
      </c>
      <c r="E46" s="3">
        <f t="shared" si="41"/>
        <v>3.6989700043360187</v>
      </c>
      <c r="F46" s="3">
        <v>2</v>
      </c>
      <c r="G46" s="3">
        <v>0</v>
      </c>
      <c r="H46" s="3">
        <f t="shared" si="42"/>
        <v>0.3010299956639812</v>
      </c>
      <c r="I46" s="3">
        <v>9</v>
      </c>
      <c r="J46" s="3">
        <v>0</v>
      </c>
      <c r="K46" s="3">
        <f t="shared" si="43"/>
        <v>0.95424250943932487</v>
      </c>
      <c r="L46" s="3">
        <v>43</v>
      </c>
      <c r="M46" s="3">
        <v>0</v>
      </c>
      <c r="N46" s="3">
        <f t="shared" si="44"/>
        <v>1.6334684555795864</v>
      </c>
      <c r="P46" s="3">
        <v>7</v>
      </c>
      <c r="Q46" s="3">
        <v>7.5</v>
      </c>
      <c r="R46" s="3">
        <v>7</v>
      </c>
      <c r="S46" s="3">
        <f t="shared" si="45"/>
        <v>7.166666666666667</v>
      </c>
      <c r="U46" s="3">
        <v>5.52</v>
      </c>
      <c r="V46" s="3">
        <v>50.71</v>
      </c>
    </row>
    <row r="47" spans="1:22">
      <c r="A47" s="3">
        <f t="shared" si="46"/>
        <v>5</v>
      </c>
      <c r="B47" s="3">
        <v>5</v>
      </c>
      <c r="C47" s="3">
        <v>39</v>
      </c>
      <c r="D47" s="3">
        <v>2</v>
      </c>
      <c r="E47" s="3">
        <f t="shared" si="41"/>
        <v>3.5910646070264991</v>
      </c>
      <c r="F47" s="3">
        <v>2</v>
      </c>
      <c r="G47" s="3">
        <v>0</v>
      </c>
      <c r="H47" s="3">
        <f t="shared" si="42"/>
        <v>0.3010299956639812</v>
      </c>
      <c r="I47" s="3">
        <v>7</v>
      </c>
      <c r="J47" s="3">
        <v>0</v>
      </c>
      <c r="K47" s="3">
        <f t="shared" si="43"/>
        <v>0.84509804001425681</v>
      </c>
      <c r="L47" s="3">
        <v>31</v>
      </c>
      <c r="M47" s="3">
        <v>0</v>
      </c>
      <c r="N47" s="3">
        <f t="shared" si="44"/>
        <v>1.4913616938342726</v>
      </c>
      <c r="P47" s="3">
        <v>6.5</v>
      </c>
      <c r="Q47" s="3">
        <v>7.5</v>
      </c>
      <c r="R47" s="3">
        <v>7.5</v>
      </c>
      <c r="S47" s="3">
        <f t="shared" si="45"/>
        <v>7.166666666666667</v>
      </c>
      <c r="U47" s="3">
        <v>5.55</v>
      </c>
      <c r="V47" s="3">
        <v>51.07</v>
      </c>
    </row>
    <row r="48" spans="1:22">
      <c r="B48" s="3" t="s">
        <v>21</v>
      </c>
      <c r="E48" s="3">
        <f>AVERAGE(E43:E47)</f>
        <v>3.6410921661228555</v>
      </c>
      <c r="H48" s="3">
        <f>AVERAGE(H43:H47)</f>
        <v>0.24082399653118497</v>
      </c>
      <c r="K48" s="3">
        <f>AVERAGE(K43:K47)</f>
        <v>0.78909371702636399</v>
      </c>
      <c r="N48" s="3">
        <f>AVERAGE(N43:N47)</f>
        <v>1.4914698801575181</v>
      </c>
      <c r="P48" s="3">
        <f t="shared" ref="P48:S48" si="47">AVERAGE(P43:P47)</f>
        <v>7</v>
      </c>
      <c r="Q48" s="3">
        <f t="shared" si="47"/>
        <v>7.4</v>
      </c>
      <c r="R48" s="3">
        <f t="shared" si="47"/>
        <v>7.3</v>
      </c>
      <c r="S48" s="3">
        <f t="shared" si="47"/>
        <v>7.2333333333333343</v>
      </c>
      <c r="U48" s="3">
        <f>AVERAGE(U43:U47)</f>
        <v>5.4939999999999998</v>
      </c>
      <c r="V48" s="3">
        <f>AVERAGE(V43:V47)</f>
        <v>51</v>
      </c>
    </row>
    <row r="49" spans="1:22">
      <c r="B49" s="3" t="s">
        <v>22</v>
      </c>
      <c r="E49" s="3">
        <f>STDEV(E43:E47)</f>
        <v>0.10636768246690272</v>
      </c>
      <c r="H49" s="3">
        <f>STDEV(H43:H47)</f>
        <v>0.1346247067142258</v>
      </c>
      <c r="K49" s="3">
        <f>STDEV(K43:K47)</f>
        <v>0.1384295761026525</v>
      </c>
      <c r="N49" s="3">
        <f>STDEV(N43:N47)</f>
        <v>0.11088694463717842</v>
      </c>
      <c r="P49" s="3">
        <f t="shared" ref="P49:S49" si="48">STDEV(P43:P47)</f>
        <v>0.35355339059327379</v>
      </c>
      <c r="Q49" s="3">
        <f t="shared" si="48"/>
        <v>0.22360679774997261</v>
      </c>
      <c r="R49" s="3">
        <f t="shared" si="48"/>
        <v>0.27386127875258826</v>
      </c>
      <c r="S49" s="3">
        <f t="shared" si="48"/>
        <v>0.14907119849994996</v>
      </c>
      <c r="U49" s="3">
        <f>STDEV(U43:U47)</f>
        <v>4.8785243670601761E-2</v>
      </c>
      <c r="V49" s="3">
        <f>STDEV(V43:V47)</f>
        <v>0.32916561181330567</v>
      </c>
    </row>
    <row r="51" spans="1:22">
      <c r="A51" s="3">
        <f>A43+1</f>
        <v>6</v>
      </c>
      <c r="B51" s="3">
        <v>1</v>
      </c>
      <c r="C51" s="3">
        <v>7</v>
      </c>
      <c r="D51" s="3">
        <v>3</v>
      </c>
      <c r="E51" s="3">
        <f>LOG10(C51/(10^(-D51)))</f>
        <v>3.8450980400142569</v>
      </c>
      <c r="F51" s="3">
        <v>2</v>
      </c>
      <c r="G51" s="3">
        <v>0</v>
      </c>
      <c r="H51" s="3">
        <f>LOG10(F51/(10^(-G51)))</f>
        <v>0.3010299956639812</v>
      </c>
      <c r="I51" s="3">
        <v>13</v>
      </c>
      <c r="J51" s="3">
        <v>0</v>
      </c>
      <c r="K51" s="3">
        <f>LOG10(I51/(10^(-J51)))</f>
        <v>1.1139433523068367</v>
      </c>
      <c r="L51" s="3">
        <v>58</v>
      </c>
      <c r="M51" s="3">
        <v>0</v>
      </c>
      <c r="N51" s="3">
        <f>LOG10(L51/(10^(-M51)))</f>
        <v>1.7634279935629373</v>
      </c>
      <c r="P51" s="3">
        <v>6.5</v>
      </c>
      <c r="Q51" s="3">
        <v>6.5</v>
      </c>
      <c r="R51" s="3">
        <v>7</v>
      </c>
      <c r="S51" s="3">
        <f>AVERAGE(P51:R51)</f>
        <v>6.666666666666667</v>
      </c>
      <c r="U51" s="3">
        <v>5.41</v>
      </c>
      <c r="V51" s="3">
        <v>50.41</v>
      </c>
    </row>
    <row r="52" spans="1:22">
      <c r="A52" s="3">
        <f>A51</f>
        <v>6</v>
      </c>
      <c r="B52" s="3">
        <v>2</v>
      </c>
      <c r="C52" s="3">
        <v>14</v>
      </c>
      <c r="D52" s="3">
        <v>3</v>
      </c>
      <c r="E52" s="3">
        <f t="shared" ref="E52:E55" si="49">LOG10(C52/(10^(-D52)))</f>
        <v>4.1461280356782382</v>
      </c>
      <c r="F52" s="3">
        <v>5</v>
      </c>
      <c r="G52" s="3">
        <v>0</v>
      </c>
      <c r="H52" s="3">
        <f t="shared" ref="H52:H55" si="50">LOG10(F52/(10^(-G52)))</f>
        <v>0.69897000433601886</v>
      </c>
      <c r="I52" s="3">
        <v>8</v>
      </c>
      <c r="J52" s="3">
        <v>0</v>
      </c>
      <c r="K52" s="3">
        <f t="shared" ref="K52:K55" si="51">LOG10(I52/(10^(-J52)))</f>
        <v>0.90308998699194354</v>
      </c>
      <c r="L52" s="3">
        <v>60</v>
      </c>
      <c r="M52" s="3">
        <v>0</v>
      </c>
      <c r="N52" s="3">
        <f t="shared" ref="N52:N55" si="52">LOG10(L52/(10^(-M52)))</f>
        <v>1.7781512503836436</v>
      </c>
      <c r="P52" s="3">
        <v>7</v>
      </c>
      <c r="Q52" s="3">
        <v>7</v>
      </c>
      <c r="R52" s="3">
        <v>7</v>
      </c>
      <c r="S52" s="3">
        <f t="shared" ref="S52:S55" si="53">AVERAGE(P52:R52)</f>
        <v>7</v>
      </c>
      <c r="U52" s="3">
        <v>5.51</v>
      </c>
      <c r="V52" s="3">
        <v>50.7</v>
      </c>
    </row>
    <row r="53" spans="1:22">
      <c r="A53" s="3">
        <f t="shared" ref="A53:A55" si="54">A52</f>
        <v>6</v>
      </c>
      <c r="B53" s="3">
        <v>3</v>
      </c>
      <c r="C53" s="3">
        <v>8</v>
      </c>
      <c r="D53" s="3">
        <v>3</v>
      </c>
      <c r="E53" s="3">
        <f t="shared" si="49"/>
        <v>3.9030899869919438</v>
      </c>
      <c r="F53" s="3">
        <v>3</v>
      </c>
      <c r="G53" s="3">
        <v>0</v>
      </c>
      <c r="H53" s="3">
        <f t="shared" si="50"/>
        <v>0.47712125471966244</v>
      </c>
      <c r="I53" s="3">
        <v>10</v>
      </c>
      <c r="J53" s="3">
        <v>0</v>
      </c>
      <c r="K53" s="3">
        <f t="shared" si="51"/>
        <v>1</v>
      </c>
      <c r="L53" s="3">
        <v>79</v>
      </c>
      <c r="M53" s="3">
        <v>0</v>
      </c>
      <c r="N53" s="3">
        <f t="shared" si="52"/>
        <v>1.8976270912904414</v>
      </c>
      <c r="P53" s="3">
        <v>6.5</v>
      </c>
      <c r="Q53" s="3">
        <v>7</v>
      </c>
      <c r="R53" s="3">
        <v>7</v>
      </c>
      <c r="S53" s="3">
        <f t="shared" si="53"/>
        <v>6.833333333333333</v>
      </c>
      <c r="U53" s="3">
        <v>5.4</v>
      </c>
      <c r="V53" s="3">
        <v>51.46</v>
      </c>
    </row>
    <row r="54" spans="1:22">
      <c r="A54" s="3">
        <f t="shared" si="54"/>
        <v>6</v>
      </c>
      <c r="B54" s="3">
        <v>4</v>
      </c>
      <c r="C54" s="3">
        <v>10</v>
      </c>
      <c r="D54" s="3">
        <v>3</v>
      </c>
      <c r="E54" s="3">
        <f t="shared" si="49"/>
        <v>4</v>
      </c>
      <c r="F54" s="3">
        <v>4</v>
      </c>
      <c r="G54" s="3">
        <v>0</v>
      </c>
      <c r="H54" s="3">
        <f t="shared" si="50"/>
        <v>0.6020599913279624</v>
      </c>
      <c r="I54" s="3">
        <v>15</v>
      </c>
      <c r="J54" s="3">
        <v>0</v>
      </c>
      <c r="K54" s="3">
        <f t="shared" si="51"/>
        <v>1.1760912590556813</v>
      </c>
      <c r="L54" s="3">
        <v>89</v>
      </c>
      <c r="M54" s="3">
        <v>0</v>
      </c>
      <c r="N54" s="3">
        <f t="shared" si="52"/>
        <v>1.9493900066449128</v>
      </c>
      <c r="P54" s="3">
        <v>6</v>
      </c>
      <c r="Q54" s="3">
        <v>7</v>
      </c>
      <c r="R54" s="3">
        <v>6.5</v>
      </c>
      <c r="S54" s="3">
        <f t="shared" si="53"/>
        <v>6.5</v>
      </c>
      <c r="U54" s="3">
        <v>5.41</v>
      </c>
      <c r="V54" s="3">
        <v>50.19</v>
      </c>
    </row>
    <row r="55" spans="1:22">
      <c r="A55" s="3">
        <f t="shared" si="54"/>
        <v>6</v>
      </c>
      <c r="B55" s="3">
        <v>5</v>
      </c>
      <c r="C55" s="3">
        <v>12</v>
      </c>
      <c r="D55" s="3">
        <v>3</v>
      </c>
      <c r="E55" s="3">
        <f t="shared" si="49"/>
        <v>4.0791812460476251</v>
      </c>
      <c r="F55" s="3">
        <v>4</v>
      </c>
      <c r="G55" s="3">
        <v>0</v>
      </c>
      <c r="H55" s="3">
        <f t="shared" si="50"/>
        <v>0.6020599913279624</v>
      </c>
      <c r="I55" s="3">
        <v>6</v>
      </c>
      <c r="J55" s="3">
        <v>0</v>
      </c>
      <c r="K55" s="3">
        <f t="shared" si="51"/>
        <v>0.77815125038364363</v>
      </c>
      <c r="L55" s="3">
        <v>56</v>
      </c>
      <c r="M55" s="3">
        <v>0</v>
      </c>
      <c r="N55" s="3">
        <f t="shared" si="52"/>
        <v>1.7481880270062005</v>
      </c>
      <c r="P55" s="3">
        <v>6.5</v>
      </c>
      <c r="Q55" s="3">
        <v>7.5</v>
      </c>
      <c r="R55" s="3">
        <v>7</v>
      </c>
      <c r="S55" s="3">
        <f t="shared" si="53"/>
        <v>7</v>
      </c>
      <c r="U55" s="3">
        <v>5.39</v>
      </c>
      <c r="V55" s="3">
        <v>51.29</v>
      </c>
    </row>
    <row r="56" spans="1:22">
      <c r="B56" s="3" t="s">
        <v>21</v>
      </c>
      <c r="E56" s="3">
        <f>AVERAGE(E51:E55)</f>
        <v>3.9946994617464129</v>
      </c>
      <c r="H56" s="3">
        <f>AVERAGE(H51:H55)</f>
        <v>0.53624824747511746</v>
      </c>
      <c r="K56" s="3">
        <f>AVERAGE(K51:K55)</f>
        <v>0.99425516974762118</v>
      </c>
      <c r="N56" s="3">
        <f>AVERAGE(N51:N55)</f>
        <v>1.8273568737776273</v>
      </c>
      <c r="P56" s="3">
        <f t="shared" ref="P56:S56" si="55">AVERAGE(P51:P55)</f>
        <v>6.5</v>
      </c>
      <c r="Q56" s="3">
        <f t="shared" si="55"/>
        <v>7</v>
      </c>
      <c r="R56" s="3">
        <f t="shared" si="55"/>
        <v>6.9</v>
      </c>
      <c r="S56" s="3">
        <f t="shared" si="55"/>
        <v>6.8</v>
      </c>
      <c r="U56" s="3">
        <f>AVERAGE(U51:U55)</f>
        <v>5.4240000000000004</v>
      </c>
      <c r="V56" s="3">
        <f>AVERAGE(V51:V55)</f>
        <v>50.809999999999995</v>
      </c>
    </row>
    <row r="57" spans="1:22">
      <c r="B57" s="3" t="s">
        <v>22</v>
      </c>
      <c r="E57" s="3">
        <f>STDEV(E51:E55)</f>
        <v>0.12335797687683976</v>
      </c>
      <c r="H57" s="3">
        <f>STDEV(H51:H55)</f>
        <v>0.15326804026866966</v>
      </c>
      <c r="K57" s="3">
        <f>STDEV(K51:K55)</f>
        <v>0.16002704615560456</v>
      </c>
      <c r="N57" s="3">
        <f>STDEV(N51:N55)</f>
        <v>9.0285367564341912E-2</v>
      </c>
      <c r="P57" s="3">
        <f t="shared" ref="P57:S57" si="56">STDEV(P51:P55)</f>
        <v>0.35355339059327379</v>
      </c>
      <c r="Q57" s="3">
        <f t="shared" si="56"/>
        <v>0.35355339059327379</v>
      </c>
      <c r="R57" s="3">
        <f t="shared" si="56"/>
        <v>0.22360679774997261</v>
      </c>
      <c r="S57" s="3">
        <f t="shared" si="56"/>
        <v>0.21730674684010937</v>
      </c>
      <c r="U57" s="3">
        <f>STDEV(U51:U55)</f>
        <v>4.8785243670601774E-2</v>
      </c>
      <c r="V57" s="3">
        <f>STDEV(V51:V55)</f>
        <v>0.54986361945562701</v>
      </c>
    </row>
    <row r="59" spans="1:22">
      <c r="A59" s="3">
        <f>A51+1</f>
        <v>7</v>
      </c>
      <c r="B59" s="3">
        <v>1</v>
      </c>
      <c r="C59" s="3">
        <v>16</v>
      </c>
      <c r="D59" s="3">
        <v>3</v>
      </c>
      <c r="E59" s="3">
        <f>LOG10(C59/(10^(-D59)))</f>
        <v>4.204119982655925</v>
      </c>
      <c r="F59" s="3">
        <v>3</v>
      </c>
      <c r="G59" s="3">
        <v>0</v>
      </c>
      <c r="H59" s="3">
        <f>LOG10(F59/(10^(-G59)))</f>
        <v>0.47712125471966244</v>
      </c>
      <c r="I59" s="3">
        <v>15</v>
      </c>
      <c r="J59" s="3">
        <v>0</v>
      </c>
      <c r="K59" s="3">
        <f>LOG10(I59/(10^(-J59)))</f>
        <v>1.1760912590556813</v>
      </c>
      <c r="L59" s="3">
        <v>17</v>
      </c>
      <c r="M59" s="3">
        <v>1</v>
      </c>
      <c r="N59" s="3">
        <f>LOG10(L59/(10^(-M59)))</f>
        <v>2.2304489213782741</v>
      </c>
      <c r="P59" s="3">
        <v>6</v>
      </c>
      <c r="Q59" s="3">
        <v>6</v>
      </c>
      <c r="R59" s="3">
        <v>6.5</v>
      </c>
      <c r="S59" s="3">
        <f>AVERAGE(P59:R59)</f>
        <v>6.166666666666667</v>
      </c>
      <c r="U59" s="3">
        <v>5.23</v>
      </c>
      <c r="V59" s="3">
        <v>50.4</v>
      </c>
    </row>
    <row r="60" spans="1:22">
      <c r="A60" s="3">
        <f>A59</f>
        <v>7</v>
      </c>
      <c r="B60" s="3">
        <v>2</v>
      </c>
      <c r="C60" s="3">
        <v>15</v>
      </c>
      <c r="D60" s="3">
        <v>3</v>
      </c>
      <c r="E60" s="3">
        <f t="shared" ref="E60:E63" si="57">LOG10(C60/(10^(-D60)))</f>
        <v>4.1760912590556813</v>
      </c>
      <c r="F60" s="3">
        <v>5</v>
      </c>
      <c r="G60" s="3">
        <v>0</v>
      </c>
      <c r="H60" s="3">
        <f t="shared" ref="H60:H63" si="58">LOG10(F60/(10^(-G60)))</f>
        <v>0.69897000433601886</v>
      </c>
      <c r="I60" s="3">
        <v>10</v>
      </c>
      <c r="J60" s="3">
        <v>0</v>
      </c>
      <c r="K60" s="3">
        <f t="shared" ref="K60:K63" si="59">LOG10(I60/(10^(-J60)))</f>
        <v>1</v>
      </c>
      <c r="L60" s="3">
        <v>8</v>
      </c>
      <c r="M60" s="3">
        <v>1</v>
      </c>
      <c r="N60" s="3">
        <f t="shared" ref="N60:N63" si="60">LOG10(L60/(10^(-M60)))</f>
        <v>1.9030899869919435</v>
      </c>
      <c r="P60" s="3">
        <v>6.5</v>
      </c>
      <c r="Q60" s="3">
        <v>6.5</v>
      </c>
      <c r="R60" s="3">
        <v>6.5</v>
      </c>
      <c r="S60" s="3">
        <f t="shared" ref="S60:S63" si="61">AVERAGE(P60:R60)</f>
        <v>6.5</v>
      </c>
      <c r="U60" s="3">
        <v>5.38</v>
      </c>
      <c r="V60" s="3">
        <v>50.65</v>
      </c>
    </row>
    <row r="61" spans="1:22">
      <c r="A61" s="3">
        <f t="shared" ref="A61:A63" si="62">A60</f>
        <v>7</v>
      </c>
      <c r="B61" s="3">
        <v>3</v>
      </c>
      <c r="C61" s="3">
        <v>25</v>
      </c>
      <c r="D61" s="3">
        <v>3</v>
      </c>
      <c r="E61" s="3">
        <f t="shared" si="57"/>
        <v>4.3979400086720375</v>
      </c>
      <c r="F61" s="3">
        <v>7</v>
      </c>
      <c r="G61" s="3">
        <v>0</v>
      </c>
      <c r="H61" s="3">
        <f t="shared" si="58"/>
        <v>0.84509804001425681</v>
      </c>
      <c r="I61" s="3">
        <v>20</v>
      </c>
      <c r="J61" s="3">
        <v>0</v>
      </c>
      <c r="K61" s="3">
        <f t="shared" si="59"/>
        <v>1.3010299956639813</v>
      </c>
      <c r="L61" s="3">
        <v>16</v>
      </c>
      <c r="M61" s="3">
        <v>1</v>
      </c>
      <c r="N61" s="3">
        <f t="shared" si="60"/>
        <v>2.2041199826559246</v>
      </c>
      <c r="P61" s="3">
        <v>6</v>
      </c>
      <c r="Q61" s="3">
        <v>6.5</v>
      </c>
      <c r="R61" s="3">
        <v>6</v>
      </c>
      <c r="S61" s="3">
        <f t="shared" si="61"/>
        <v>6.166666666666667</v>
      </c>
      <c r="U61" s="3">
        <v>5.36</v>
      </c>
      <c r="V61" s="3">
        <v>50.16</v>
      </c>
    </row>
    <row r="62" spans="1:22">
      <c r="A62" s="3">
        <f t="shared" si="62"/>
        <v>7</v>
      </c>
      <c r="B62" s="3">
        <v>4</v>
      </c>
      <c r="C62" s="3">
        <v>8</v>
      </c>
      <c r="D62" s="3">
        <v>3</v>
      </c>
      <c r="E62" s="3">
        <f t="shared" si="57"/>
        <v>3.9030899869919438</v>
      </c>
      <c r="F62" s="3">
        <v>4</v>
      </c>
      <c r="G62" s="3">
        <v>0</v>
      </c>
      <c r="H62" s="3">
        <f t="shared" si="58"/>
        <v>0.6020599913279624</v>
      </c>
      <c r="I62" s="3">
        <v>15</v>
      </c>
      <c r="J62" s="3">
        <v>0</v>
      </c>
      <c r="K62" s="3">
        <f t="shared" si="59"/>
        <v>1.1760912590556813</v>
      </c>
      <c r="L62" s="3">
        <v>25</v>
      </c>
      <c r="M62" s="3">
        <v>1</v>
      </c>
      <c r="N62" s="3">
        <f t="shared" si="60"/>
        <v>2.3979400086720375</v>
      </c>
      <c r="P62" s="3">
        <v>5.5</v>
      </c>
      <c r="Q62" s="3">
        <v>6.5</v>
      </c>
      <c r="R62" s="3">
        <v>6.5</v>
      </c>
      <c r="S62" s="3">
        <f t="shared" si="61"/>
        <v>6.166666666666667</v>
      </c>
      <c r="U62" s="3">
        <v>5.29</v>
      </c>
      <c r="V62" s="3">
        <v>51.11</v>
      </c>
    </row>
    <row r="63" spans="1:22">
      <c r="A63" s="3">
        <f t="shared" si="62"/>
        <v>7</v>
      </c>
      <c r="B63" s="3">
        <v>5</v>
      </c>
      <c r="C63" s="3">
        <v>16</v>
      </c>
      <c r="D63" s="3">
        <v>3</v>
      </c>
      <c r="E63" s="3">
        <f t="shared" si="57"/>
        <v>4.204119982655925</v>
      </c>
      <c r="F63" s="3">
        <v>5</v>
      </c>
      <c r="G63" s="3">
        <v>0</v>
      </c>
      <c r="H63" s="3">
        <f t="shared" si="58"/>
        <v>0.69897000433601886</v>
      </c>
      <c r="I63" s="3">
        <v>13</v>
      </c>
      <c r="J63" s="3">
        <v>0</v>
      </c>
      <c r="K63" s="3">
        <f t="shared" si="59"/>
        <v>1.1139433523068367</v>
      </c>
      <c r="L63" s="3">
        <v>16</v>
      </c>
      <c r="M63" s="3">
        <v>1</v>
      </c>
      <c r="N63" s="3">
        <f t="shared" si="60"/>
        <v>2.2041199826559246</v>
      </c>
      <c r="P63" s="3">
        <v>6</v>
      </c>
      <c r="Q63" s="3">
        <v>7</v>
      </c>
      <c r="R63" s="3">
        <v>6.5</v>
      </c>
      <c r="S63" s="3">
        <f t="shared" si="61"/>
        <v>6.5</v>
      </c>
      <c r="U63" s="3">
        <v>5.47</v>
      </c>
      <c r="V63" s="3">
        <v>50.21</v>
      </c>
    </row>
    <row r="64" spans="1:22">
      <c r="B64" s="3" t="s">
        <v>21</v>
      </c>
      <c r="E64" s="3">
        <f>AVERAGE(E59:E63)</f>
        <v>4.1770722440063022</v>
      </c>
      <c r="H64" s="3">
        <f>AVERAGE(H59:H63)</f>
        <v>0.66444385894678393</v>
      </c>
      <c r="K64" s="3">
        <f>AVERAGE(K59:K63)</f>
        <v>1.1534311732164362</v>
      </c>
      <c r="N64" s="3">
        <f>AVERAGE(N59:N63)</f>
        <v>2.1879437764708212</v>
      </c>
      <c r="P64" s="3">
        <f t="shared" ref="P64:S64" si="63">AVERAGE(P59:P63)</f>
        <v>6</v>
      </c>
      <c r="Q64" s="3">
        <f t="shared" si="63"/>
        <v>6.5</v>
      </c>
      <c r="R64" s="3">
        <f t="shared" si="63"/>
        <v>6.4</v>
      </c>
      <c r="S64" s="3">
        <f t="shared" si="63"/>
        <v>6.3000000000000007</v>
      </c>
      <c r="U64" s="3">
        <f>AVERAGE(U59:U63)</f>
        <v>5.3459999999999992</v>
      </c>
      <c r="V64" s="3">
        <f>AVERAGE(V59:V63)</f>
        <v>50.506</v>
      </c>
    </row>
    <row r="65" spans="1:22">
      <c r="B65" s="3" t="s">
        <v>22</v>
      </c>
      <c r="E65" s="3">
        <f>STDEV(E59:E63)</f>
        <v>0.1769978596556252</v>
      </c>
      <c r="H65" s="3">
        <f>STDEV(H59:H63)</f>
        <v>0.13601612731726875</v>
      </c>
      <c r="K65" s="3">
        <f>STDEV(K59:K63)</f>
        <v>0.10944494538710565</v>
      </c>
      <c r="N65" s="3">
        <f>STDEV(N59:N63)</f>
        <v>0.17858480167406673</v>
      </c>
      <c r="P65" s="3">
        <f t="shared" ref="P65:S65" si="64">STDEV(P59:P63)</f>
        <v>0.35355339059327379</v>
      </c>
      <c r="Q65" s="3">
        <f t="shared" si="64"/>
        <v>0.35355339059327379</v>
      </c>
      <c r="R65" s="3">
        <f t="shared" si="64"/>
        <v>0.22360679774997261</v>
      </c>
      <c r="S65" s="3">
        <f t="shared" si="64"/>
        <v>0.18257418583501125</v>
      </c>
      <c r="U65" s="3">
        <f>STDEV(U59:U63)</f>
        <v>9.1268833672880592E-2</v>
      </c>
      <c r="V65" s="3">
        <f>STDEV(V59:V63)</f>
        <v>0.38862578401276571</v>
      </c>
    </row>
    <row r="67" spans="1:22">
      <c r="A67" s="3">
        <f>A59+1</f>
        <v>8</v>
      </c>
      <c r="B67" s="3">
        <v>1</v>
      </c>
      <c r="C67" s="3">
        <v>45</v>
      </c>
      <c r="D67" s="3">
        <v>3</v>
      </c>
      <c r="E67" s="3">
        <f>LOG10(C67/(10^(-D67)))</f>
        <v>4.653212513775344</v>
      </c>
      <c r="F67" s="3">
        <v>7</v>
      </c>
      <c r="G67" s="3">
        <v>0</v>
      </c>
      <c r="H67" s="3">
        <f>LOG10(F67/(10^(-G67)))</f>
        <v>0.84509804001425681</v>
      </c>
      <c r="I67" s="3">
        <v>28</v>
      </c>
      <c r="J67" s="3">
        <v>0</v>
      </c>
      <c r="K67" s="3">
        <f>LOG10(I67/(10^(-J67)))</f>
        <v>1.4471580313422192</v>
      </c>
      <c r="L67" s="3">
        <v>48</v>
      </c>
      <c r="M67" s="3">
        <v>1</v>
      </c>
      <c r="N67" s="3">
        <f>LOG10(L67/(10^(-M67)))</f>
        <v>2.6812412373755872</v>
      </c>
      <c r="P67" s="3">
        <v>5.5</v>
      </c>
      <c r="Q67" s="3">
        <v>6.5</v>
      </c>
      <c r="R67" s="3">
        <v>5</v>
      </c>
      <c r="S67" s="3">
        <f>AVERAGE(P67:R67)</f>
        <v>5.666666666666667</v>
      </c>
      <c r="U67" s="3">
        <v>5.3</v>
      </c>
      <c r="V67" s="3">
        <v>49.48</v>
      </c>
    </row>
    <row r="68" spans="1:22">
      <c r="A68" s="3">
        <f>A67</f>
        <v>8</v>
      </c>
      <c r="B68" s="3">
        <v>2</v>
      </c>
      <c r="C68" s="3">
        <v>33</v>
      </c>
      <c r="D68" s="3">
        <v>3</v>
      </c>
      <c r="E68" s="3">
        <f t="shared" ref="E68:E71" si="65">LOG10(C68/(10^(-D68)))</f>
        <v>4.5185139398778871</v>
      </c>
      <c r="F68" s="3">
        <v>4</v>
      </c>
      <c r="G68" s="3">
        <v>0</v>
      </c>
      <c r="H68" s="3">
        <f t="shared" ref="H68:H71" si="66">LOG10(F68/(10^(-G68)))</f>
        <v>0.6020599913279624</v>
      </c>
      <c r="I68" s="3">
        <v>16</v>
      </c>
      <c r="J68" s="3">
        <v>0</v>
      </c>
      <c r="K68" s="3">
        <f t="shared" ref="K68:K71" si="67">LOG10(I68/(10^(-J68)))</f>
        <v>1.2041199826559248</v>
      </c>
      <c r="L68" s="3">
        <v>31</v>
      </c>
      <c r="M68" s="3">
        <v>1</v>
      </c>
      <c r="N68" s="3">
        <f t="shared" ref="N68:N71" si="68">LOG10(L68/(10^(-M68)))</f>
        <v>2.4913616938342726</v>
      </c>
      <c r="P68" s="3">
        <v>5</v>
      </c>
      <c r="Q68" s="3">
        <v>6</v>
      </c>
      <c r="R68" s="3">
        <v>6</v>
      </c>
      <c r="S68" s="3">
        <f t="shared" ref="S68:S71" si="69">AVERAGE(P68:R68)</f>
        <v>5.666666666666667</v>
      </c>
      <c r="U68" s="3">
        <v>5.31</v>
      </c>
      <c r="V68" s="3">
        <v>49.61</v>
      </c>
    </row>
    <row r="69" spans="1:22">
      <c r="A69" s="3">
        <f t="shared" ref="A69:A71" si="70">A68</f>
        <v>8</v>
      </c>
      <c r="B69" s="3">
        <v>3</v>
      </c>
      <c r="C69" s="3">
        <v>32</v>
      </c>
      <c r="D69" s="3">
        <v>3</v>
      </c>
      <c r="E69" s="3">
        <f t="shared" si="65"/>
        <v>4.5051499783199063</v>
      </c>
      <c r="F69" s="3">
        <v>8</v>
      </c>
      <c r="G69" s="3">
        <v>0</v>
      </c>
      <c r="H69" s="3">
        <f t="shared" si="66"/>
        <v>0.90308998699194354</v>
      </c>
      <c r="I69" s="3">
        <v>26</v>
      </c>
      <c r="J69" s="3">
        <v>0</v>
      </c>
      <c r="K69" s="3">
        <f t="shared" si="67"/>
        <v>1.414973347970818</v>
      </c>
      <c r="L69" s="3">
        <v>52</v>
      </c>
      <c r="M69" s="3">
        <v>1</v>
      </c>
      <c r="N69" s="3">
        <f t="shared" si="68"/>
        <v>2.716003343634799</v>
      </c>
      <c r="P69" s="3">
        <v>5.5</v>
      </c>
      <c r="Q69" s="3">
        <v>6</v>
      </c>
      <c r="R69" s="3">
        <v>5.5</v>
      </c>
      <c r="S69" s="3">
        <f t="shared" si="69"/>
        <v>5.666666666666667</v>
      </c>
      <c r="U69" s="3">
        <v>5.26</v>
      </c>
      <c r="V69" s="3">
        <v>50.61</v>
      </c>
    </row>
    <row r="70" spans="1:22">
      <c r="A70" s="3">
        <f t="shared" si="70"/>
        <v>8</v>
      </c>
      <c r="B70" s="3">
        <v>4</v>
      </c>
      <c r="C70" s="3">
        <v>20</v>
      </c>
      <c r="D70" s="3">
        <v>3</v>
      </c>
      <c r="E70" s="3">
        <f t="shared" si="65"/>
        <v>4.3010299956639813</v>
      </c>
      <c r="F70" s="3">
        <v>9</v>
      </c>
      <c r="G70" s="3">
        <v>0</v>
      </c>
      <c r="H70" s="3">
        <f t="shared" si="66"/>
        <v>0.95424250943932487</v>
      </c>
      <c r="I70" s="3">
        <v>23</v>
      </c>
      <c r="J70" s="3">
        <v>0</v>
      </c>
      <c r="K70" s="3">
        <f t="shared" si="67"/>
        <v>1.3617278360175928</v>
      </c>
      <c r="L70" s="3">
        <v>54</v>
      </c>
      <c r="M70" s="3">
        <v>1</v>
      </c>
      <c r="N70" s="3">
        <f t="shared" si="68"/>
        <v>2.7323937598229686</v>
      </c>
      <c r="P70" s="3">
        <v>5.5</v>
      </c>
      <c r="Q70" s="3">
        <v>6</v>
      </c>
      <c r="R70" s="3">
        <v>6</v>
      </c>
      <c r="S70" s="3">
        <f t="shared" si="69"/>
        <v>5.833333333333333</v>
      </c>
      <c r="U70" s="3">
        <v>5.18</v>
      </c>
      <c r="V70" s="3">
        <v>49.73</v>
      </c>
    </row>
    <row r="71" spans="1:22">
      <c r="A71" s="3">
        <f t="shared" si="70"/>
        <v>8</v>
      </c>
      <c r="B71" s="3">
        <v>5</v>
      </c>
      <c r="C71" s="3">
        <v>31</v>
      </c>
      <c r="D71" s="3">
        <v>3</v>
      </c>
      <c r="E71" s="3">
        <f t="shared" si="65"/>
        <v>4.4913616938342731</v>
      </c>
      <c r="F71" s="3">
        <v>5</v>
      </c>
      <c r="G71" s="3">
        <v>0</v>
      </c>
      <c r="H71" s="3">
        <f t="shared" si="66"/>
        <v>0.69897000433601886</v>
      </c>
      <c r="I71" s="3">
        <v>18</v>
      </c>
      <c r="J71" s="3">
        <v>0</v>
      </c>
      <c r="K71" s="3">
        <f t="shared" si="67"/>
        <v>1.255272505103306</v>
      </c>
      <c r="L71" s="3">
        <v>64</v>
      </c>
      <c r="M71" s="3">
        <v>1</v>
      </c>
      <c r="N71" s="3">
        <f t="shared" si="68"/>
        <v>2.8061799739838871</v>
      </c>
      <c r="P71" s="3">
        <v>5.5</v>
      </c>
      <c r="Q71" s="3">
        <v>5.5</v>
      </c>
      <c r="R71" s="3">
        <v>6</v>
      </c>
      <c r="S71" s="3">
        <f t="shared" si="69"/>
        <v>5.666666666666667</v>
      </c>
      <c r="U71" s="3">
        <v>5.37</v>
      </c>
      <c r="V71" s="3">
        <v>50.57</v>
      </c>
    </row>
    <row r="72" spans="1:22">
      <c r="B72" s="3" t="s">
        <v>21</v>
      </c>
      <c r="E72" s="3">
        <f>AVERAGE(E67:E71)</f>
        <v>4.493853624294279</v>
      </c>
      <c r="H72" s="3">
        <f>AVERAGE(H67:H71)</f>
        <v>0.80069210642190125</v>
      </c>
      <c r="K72" s="3">
        <f>AVERAGE(K67:K71)</f>
        <v>1.3366503406179722</v>
      </c>
      <c r="N72" s="3">
        <f>AVERAGE(N67:N71)</f>
        <v>2.6854360017303032</v>
      </c>
      <c r="P72" s="3">
        <f t="shared" ref="P72:S72" si="71">AVERAGE(P67:P71)</f>
        <v>5.4</v>
      </c>
      <c r="Q72" s="3">
        <f t="shared" si="71"/>
        <v>6</v>
      </c>
      <c r="R72" s="3">
        <f t="shared" si="71"/>
        <v>5.7</v>
      </c>
      <c r="S72" s="3">
        <f t="shared" si="71"/>
        <v>5.7</v>
      </c>
      <c r="U72" s="3">
        <f>AVERAGE(U67:U71)</f>
        <v>5.2839999999999998</v>
      </c>
      <c r="V72" s="3">
        <f>AVERAGE(V67:V71)</f>
        <v>49.999999999999993</v>
      </c>
    </row>
    <row r="73" spans="1:22">
      <c r="B73" s="3" t="s">
        <v>22</v>
      </c>
      <c r="E73" s="3">
        <f>STDEV(E67:E71)</f>
        <v>0.12581549577769402</v>
      </c>
      <c r="H73" s="3">
        <f>STDEV(H67:H71)</f>
        <v>0.14648979687142141</v>
      </c>
      <c r="K73" s="3">
        <f>STDEV(K67:K71)</f>
        <v>0.10387729764019549</v>
      </c>
      <c r="N73" s="3">
        <f>STDEV(N67:N71)</f>
        <v>0.11768701426355416</v>
      </c>
      <c r="P73" s="3">
        <f t="shared" ref="P73:S73" si="72">STDEV(P67:P71)</f>
        <v>0.22360679774997261</v>
      </c>
      <c r="Q73" s="3">
        <f t="shared" si="72"/>
        <v>0.35355339059327379</v>
      </c>
      <c r="R73" s="3">
        <f t="shared" si="72"/>
        <v>0.44721359549996109</v>
      </c>
      <c r="S73" s="3">
        <f t="shared" si="72"/>
        <v>7.4535599249992729E-2</v>
      </c>
      <c r="U73" s="3">
        <f>STDEV(U67:U71)</f>
        <v>7.0213958726167952E-2</v>
      </c>
      <c r="V73" s="3">
        <f>STDEV(V67:V71)</f>
        <v>0.54598534778914298</v>
      </c>
    </row>
    <row r="75" spans="1:22">
      <c r="A75" s="3">
        <f>A67+1</f>
        <v>9</v>
      </c>
      <c r="B75" s="3">
        <v>1</v>
      </c>
      <c r="C75" s="3">
        <v>67</v>
      </c>
      <c r="D75" s="3">
        <v>3</v>
      </c>
      <c r="E75" s="3">
        <f>LOG10(C75/(10^(-D75)))</f>
        <v>4.826074802700826</v>
      </c>
      <c r="F75" s="3">
        <v>9</v>
      </c>
      <c r="G75" s="3">
        <v>0</v>
      </c>
      <c r="H75" s="3">
        <f>LOG10(F75/(10^(-G75)))</f>
        <v>0.95424250943932487</v>
      </c>
      <c r="I75" s="3">
        <v>22</v>
      </c>
      <c r="J75" s="3">
        <v>0</v>
      </c>
      <c r="K75" s="3">
        <f>LOG10(I75/(10^(-J75)))</f>
        <v>1.3424226808222062</v>
      </c>
      <c r="L75" s="3">
        <v>18</v>
      </c>
      <c r="M75" s="3">
        <v>2</v>
      </c>
      <c r="N75" s="3">
        <f>LOG10(L75/(10^(-M75)))</f>
        <v>3.255272505103306</v>
      </c>
      <c r="P75" s="3">
        <v>5</v>
      </c>
      <c r="Q75" s="3">
        <v>5.5</v>
      </c>
      <c r="R75" s="3">
        <v>5</v>
      </c>
      <c r="S75" s="3">
        <f>AVERAGE(P75:R75)</f>
        <v>5.166666666666667</v>
      </c>
      <c r="U75" s="3">
        <v>5.25</v>
      </c>
      <c r="V75" s="3">
        <v>48.93</v>
      </c>
    </row>
    <row r="76" spans="1:22">
      <c r="A76" s="3">
        <f>A75</f>
        <v>9</v>
      </c>
      <c r="B76" s="3">
        <v>2</v>
      </c>
      <c r="C76" s="3">
        <v>44</v>
      </c>
      <c r="D76" s="3">
        <v>3</v>
      </c>
      <c r="E76" s="3">
        <f t="shared" ref="E76:E79" si="73">LOG10(C76/(10^(-D76)))</f>
        <v>4.6434526764861879</v>
      </c>
      <c r="F76" s="3">
        <v>10</v>
      </c>
      <c r="G76" s="3">
        <v>0</v>
      </c>
      <c r="H76" s="3">
        <f t="shared" ref="H76:H79" si="74">LOG10(F76/(10^(-G76)))</f>
        <v>1</v>
      </c>
      <c r="I76" s="3">
        <v>32</v>
      </c>
      <c r="J76" s="3">
        <v>0</v>
      </c>
      <c r="K76" s="3">
        <f t="shared" ref="K76:K79" si="75">LOG10(I76/(10^(-J76)))</f>
        <v>1.505149978319906</v>
      </c>
      <c r="L76" s="3">
        <v>8</v>
      </c>
      <c r="M76" s="3">
        <v>2</v>
      </c>
      <c r="N76" s="3">
        <f t="shared" ref="N76:N79" si="76">LOG10(L76/(10^(-M76)))</f>
        <v>2.9030899869919438</v>
      </c>
      <c r="P76" s="3">
        <v>5</v>
      </c>
      <c r="Q76" s="3">
        <v>5.5</v>
      </c>
      <c r="R76" s="3">
        <v>5</v>
      </c>
      <c r="S76" s="3">
        <f t="shared" ref="S76:S79" si="77">AVERAGE(P76:R76)</f>
        <v>5.166666666666667</v>
      </c>
      <c r="U76" s="3">
        <v>5.24</v>
      </c>
      <c r="V76" s="3">
        <v>50.22</v>
      </c>
    </row>
    <row r="77" spans="1:22">
      <c r="A77" s="3">
        <f t="shared" ref="A77:A79" si="78">A76</f>
        <v>9</v>
      </c>
      <c r="B77" s="3">
        <v>3</v>
      </c>
      <c r="C77" s="3">
        <v>52</v>
      </c>
      <c r="D77" s="3">
        <v>3</v>
      </c>
      <c r="E77" s="3">
        <f t="shared" si="73"/>
        <v>4.7160033436347994</v>
      </c>
      <c r="F77" s="3">
        <v>14</v>
      </c>
      <c r="G77" s="3">
        <v>0</v>
      </c>
      <c r="H77" s="3">
        <f t="shared" si="74"/>
        <v>1.146128035678238</v>
      </c>
      <c r="I77" s="3">
        <v>27</v>
      </c>
      <c r="J77" s="3">
        <v>0</v>
      </c>
      <c r="K77" s="3">
        <f t="shared" si="75"/>
        <v>1.4313637641589874</v>
      </c>
      <c r="L77" s="3">
        <v>17</v>
      </c>
      <c r="M77" s="3">
        <v>2</v>
      </c>
      <c r="N77" s="3">
        <f t="shared" si="76"/>
        <v>3.2304489213782741</v>
      </c>
      <c r="P77" s="3">
        <v>5</v>
      </c>
      <c r="Q77" s="3">
        <v>5</v>
      </c>
      <c r="R77" s="3">
        <v>4.5</v>
      </c>
      <c r="S77" s="3">
        <f t="shared" si="77"/>
        <v>4.833333333333333</v>
      </c>
      <c r="U77" s="3">
        <v>5.16</v>
      </c>
      <c r="V77" s="3">
        <v>50.3</v>
      </c>
    </row>
    <row r="78" spans="1:22">
      <c r="A78" s="3">
        <f t="shared" si="78"/>
        <v>9</v>
      </c>
      <c r="B78" s="3">
        <v>4</v>
      </c>
      <c r="C78" s="3">
        <v>54</v>
      </c>
      <c r="D78" s="3">
        <v>3</v>
      </c>
      <c r="E78" s="3">
        <f t="shared" si="73"/>
        <v>4.7323937598229682</v>
      </c>
      <c r="F78" s="3">
        <v>9</v>
      </c>
      <c r="G78" s="3">
        <v>0</v>
      </c>
      <c r="H78" s="3">
        <f t="shared" si="74"/>
        <v>0.95424250943932487</v>
      </c>
      <c r="I78" s="3">
        <v>38</v>
      </c>
      <c r="J78" s="3">
        <v>0</v>
      </c>
      <c r="K78" s="3">
        <f t="shared" si="75"/>
        <v>1.5797835966168101</v>
      </c>
      <c r="L78" s="3">
        <v>24</v>
      </c>
      <c r="M78" s="3">
        <v>2</v>
      </c>
      <c r="N78" s="3">
        <f t="shared" si="76"/>
        <v>3.3802112417116059</v>
      </c>
      <c r="P78" s="3">
        <v>5</v>
      </c>
      <c r="Q78" s="3">
        <v>5.5</v>
      </c>
      <c r="R78" s="3">
        <v>5</v>
      </c>
      <c r="S78" s="3">
        <f t="shared" si="77"/>
        <v>5.166666666666667</v>
      </c>
      <c r="U78" s="3">
        <v>5.34</v>
      </c>
      <c r="V78" s="3">
        <v>49.39</v>
      </c>
    </row>
    <row r="79" spans="1:22">
      <c r="A79" s="3">
        <f t="shared" si="78"/>
        <v>9</v>
      </c>
      <c r="B79" s="3">
        <v>5</v>
      </c>
      <c r="C79" s="3">
        <v>80</v>
      </c>
      <c r="D79" s="3">
        <v>3</v>
      </c>
      <c r="E79" s="3">
        <f t="shared" si="73"/>
        <v>4.9030899869919438</v>
      </c>
      <c r="F79" s="3">
        <v>5</v>
      </c>
      <c r="G79" s="3">
        <v>0</v>
      </c>
      <c r="H79" s="3">
        <f t="shared" si="74"/>
        <v>0.69897000433601886</v>
      </c>
      <c r="I79" s="3">
        <v>44</v>
      </c>
      <c r="J79" s="3">
        <v>0</v>
      </c>
      <c r="K79" s="3">
        <f t="shared" si="75"/>
        <v>1.6434526764861874</v>
      </c>
      <c r="L79" s="3">
        <v>17</v>
      </c>
      <c r="M79" s="3">
        <v>2</v>
      </c>
      <c r="N79" s="3">
        <f t="shared" si="76"/>
        <v>3.2304489213782741</v>
      </c>
      <c r="P79" s="3">
        <v>4.5</v>
      </c>
      <c r="Q79" s="3">
        <v>5.5</v>
      </c>
      <c r="R79" s="3">
        <v>5.5</v>
      </c>
      <c r="S79" s="3">
        <f t="shared" si="77"/>
        <v>5.166666666666667</v>
      </c>
      <c r="U79" s="3">
        <v>5.25</v>
      </c>
      <c r="V79" s="3">
        <v>50.24</v>
      </c>
    </row>
    <row r="80" spans="1:22">
      <c r="B80" s="3" t="s">
        <v>21</v>
      </c>
      <c r="E80" s="3">
        <f>AVERAGE(E75:E79)</f>
        <v>4.7642029139273454</v>
      </c>
      <c r="H80" s="3">
        <f>AVERAGE(H75:H79)</f>
        <v>0.95071661177858124</v>
      </c>
      <c r="K80" s="3">
        <f>AVERAGE(K75:K79)</f>
        <v>1.5004345392808194</v>
      </c>
      <c r="N80" s="3">
        <f>AVERAGE(N75:N79)</f>
        <v>3.1998943153126809</v>
      </c>
      <c r="P80" s="3">
        <f t="shared" ref="P80:S80" si="79">AVERAGE(P75:P79)</f>
        <v>4.9000000000000004</v>
      </c>
      <c r="Q80" s="3">
        <f t="shared" si="79"/>
        <v>5.4</v>
      </c>
      <c r="R80" s="3">
        <f t="shared" si="79"/>
        <v>5</v>
      </c>
      <c r="S80" s="3">
        <f t="shared" si="79"/>
        <v>5.1000000000000005</v>
      </c>
      <c r="U80" s="3">
        <f>AVERAGE(U75:U79)</f>
        <v>5.2480000000000002</v>
      </c>
      <c r="V80" s="3">
        <f>AVERAGE(V75:V79)</f>
        <v>49.815999999999995</v>
      </c>
    </row>
    <row r="81" spans="1:22">
      <c r="B81" s="3" t="s">
        <v>22</v>
      </c>
      <c r="E81" s="3">
        <f>STDEV(E75:E79)</f>
        <v>0.10128350110969554</v>
      </c>
      <c r="H81" s="3">
        <f>STDEV(H75:H79)</f>
        <v>0.1612573217039634</v>
      </c>
      <c r="K81" s="3">
        <f>STDEV(K75:K79)</f>
        <v>0.11886043835588431</v>
      </c>
      <c r="N81" s="3">
        <f>STDEV(N75:N79)</f>
        <v>0.17715876711583289</v>
      </c>
      <c r="P81" s="3">
        <f t="shared" ref="P81:S81" si="80">STDEV(P75:P79)</f>
        <v>0.22360679774998055</v>
      </c>
      <c r="Q81" s="3">
        <f t="shared" si="80"/>
        <v>0.22360679774997261</v>
      </c>
      <c r="R81" s="3">
        <f t="shared" si="80"/>
        <v>0.35355339059327379</v>
      </c>
      <c r="S81" s="3">
        <f t="shared" si="80"/>
        <v>0.14907119849994996</v>
      </c>
      <c r="U81" s="3">
        <f>STDEV(U75:U79)</f>
        <v>6.3796551630946219E-2</v>
      </c>
      <c r="V81" s="3">
        <f>STDEV(V75:V79)</f>
        <v>0.62123264563315683</v>
      </c>
    </row>
    <row r="83" spans="1:22">
      <c r="A83" s="3">
        <f>A75+1</f>
        <v>10</v>
      </c>
      <c r="B83" s="3">
        <v>1</v>
      </c>
      <c r="C83" s="3">
        <v>7</v>
      </c>
      <c r="D83" s="3">
        <v>4</v>
      </c>
      <c r="E83" s="3">
        <f>LOG10(C83/(10^(-D83)))</f>
        <v>4.8450980400142569</v>
      </c>
      <c r="F83" s="3">
        <v>8</v>
      </c>
      <c r="G83" s="3">
        <v>0</v>
      </c>
      <c r="H83" s="3">
        <f>LOG10(F83/(10^(-G83)))</f>
        <v>0.90308998699194354</v>
      </c>
      <c r="I83" s="3">
        <v>50</v>
      </c>
      <c r="J83" s="3">
        <v>0</v>
      </c>
      <c r="K83" s="3">
        <f>LOG10(I83/(10^(-J83)))</f>
        <v>1.6989700043360187</v>
      </c>
      <c r="L83" s="3">
        <v>54</v>
      </c>
      <c r="M83" s="3">
        <v>2</v>
      </c>
      <c r="N83" s="3">
        <f>LOG10(L83/(10^(-M83)))</f>
        <v>3.7323937598229686</v>
      </c>
      <c r="S83" s="3" t="e">
        <f>AVERAGE(P83:R83)</f>
        <v>#DIV/0!</v>
      </c>
      <c r="U83" s="3">
        <v>5.15</v>
      </c>
      <c r="V83" s="3">
        <v>49.96</v>
      </c>
    </row>
    <row r="84" spans="1:22">
      <c r="A84" s="3">
        <f>A83</f>
        <v>10</v>
      </c>
      <c r="B84" s="3">
        <v>2</v>
      </c>
      <c r="C84" s="3">
        <v>20</v>
      </c>
      <c r="D84" s="3">
        <v>4</v>
      </c>
      <c r="E84" s="3">
        <f t="shared" ref="E84:E87" si="81">LOG10(C84/(10^(-D84)))</f>
        <v>5.3010299956639813</v>
      </c>
      <c r="F84" s="3">
        <v>10</v>
      </c>
      <c r="G84" s="3">
        <v>0</v>
      </c>
      <c r="H84" s="3">
        <f t="shared" ref="H84:H87" si="82">LOG10(F84/(10^(-G84)))</f>
        <v>1</v>
      </c>
      <c r="I84" s="3">
        <v>33</v>
      </c>
      <c r="J84" s="3">
        <v>0</v>
      </c>
      <c r="K84" s="3">
        <f t="shared" ref="K84:K87" si="83">LOG10(I84/(10^(-J84)))</f>
        <v>1.5185139398778875</v>
      </c>
      <c r="L84" s="3">
        <v>29</v>
      </c>
      <c r="M84" s="3">
        <v>2</v>
      </c>
      <c r="N84" s="3">
        <f t="shared" ref="N84:N87" si="84">LOG10(L84/(10^(-M84)))</f>
        <v>3.4623979978989561</v>
      </c>
      <c r="S84" s="3" t="e">
        <f t="shared" ref="S84:S87" si="85">AVERAGE(P84:R84)</f>
        <v>#DIV/0!</v>
      </c>
      <c r="U84" s="3">
        <v>5.0999999999999996</v>
      </c>
      <c r="V84" s="3">
        <v>49.35</v>
      </c>
    </row>
    <row r="85" spans="1:22">
      <c r="A85" s="3">
        <f t="shared" ref="A85:A87" si="86">A84</f>
        <v>10</v>
      </c>
      <c r="B85" s="3">
        <v>3</v>
      </c>
      <c r="C85" s="3">
        <v>14</v>
      </c>
      <c r="D85" s="3">
        <v>4</v>
      </c>
      <c r="E85" s="3">
        <f t="shared" si="81"/>
        <v>5.1461280356782382</v>
      </c>
      <c r="F85" s="3">
        <v>19</v>
      </c>
      <c r="G85" s="3">
        <v>0</v>
      </c>
      <c r="H85" s="3">
        <f t="shared" si="82"/>
        <v>1.2787536009528289</v>
      </c>
      <c r="I85" s="3">
        <v>48</v>
      </c>
      <c r="J85" s="3">
        <v>0</v>
      </c>
      <c r="K85" s="3">
        <f t="shared" si="83"/>
        <v>1.6812412373755872</v>
      </c>
      <c r="L85" s="3">
        <v>47</v>
      </c>
      <c r="M85" s="3">
        <v>2</v>
      </c>
      <c r="N85" s="3">
        <f t="shared" si="84"/>
        <v>3.6720978579357175</v>
      </c>
      <c r="S85" s="3" t="e">
        <f t="shared" si="85"/>
        <v>#DIV/0!</v>
      </c>
      <c r="U85" s="3">
        <v>5.17</v>
      </c>
      <c r="V85" s="3">
        <v>49.29</v>
      </c>
    </row>
    <row r="86" spans="1:22">
      <c r="A86" s="3">
        <f t="shared" si="86"/>
        <v>10</v>
      </c>
      <c r="B86" s="3">
        <v>4</v>
      </c>
      <c r="C86" s="3">
        <v>13</v>
      </c>
      <c r="D86" s="3">
        <v>4</v>
      </c>
      <c r="E86" s="3">
        <f t="shared" si="81"/>
        <v>5.1139433523068369</v>
      </c>
      <c r="F86" s="3">
        <v>20</v>
      </c>
      <c r="G86" s="3">
        <v>0</v>
      </c>
      <c r="H86" s="3">
        <f t="shared" si="82"/>
        <v>1.3010299956639813</v>
      </c>
      <c r="I86" s="3">
        <v>40</v>
      </c>
      <c r="J86" s="3">
        <v>0</v>
      </c>
      <c r="K86" s="3">
        <f t="shared" si="83"/>
        <v>1.6020599913279623</v>
      </c>
      <c r="L86" s="3">
        <v>38</v>
      </c>
      <c r="M86" s="3">
        <v>2</v>
      </c>
      <c r="N86" s="3">
        <f t="shared" si="84"/>
        <v>3.5797835966168101</v>
      </c>
      <c r="S86" s="3" t="e">
        <f t="shared" si="85"/>
        <v>#DIV/0!</v>
      </c>
      <c r="U86" s="3">
        <v>5.18</v>
      </c>
      <c r="V86" s="3">
        <v>49.24</v>
      </c>
    </row>
    <row r="87" spans="1:22">
      <c r="A87" s="3">
        <f t="shared" si="86"/>
        <v>10</v>
      </c>
      <c r="B87" s="3">
        <v>5</v>
      </c>
      <c r="C87" s="3">
        <v>13</v>
      </c>
      <c r="D87" s="3">
        <v>4</v>
      </c>
      <c r="E87" s="3">
        <f t="shared" si="81"/>
        <v>5.1139433523068369</v>
      </c>
      <c r="F87" s="3">
        <v>10</v>
      </c>
      <c r="G87" s="3">
        <v>0</v>
      </c>
      <c r="H87" s="3">
        <f t="shared" si="82"/>
        <v>1</v>
      </c>
      <c r="I87" s="3">
        <v>59</v>
      </c>
      <c r="J87" s="3">
        <v>0</v>
      </c>
      <c r="K87" s="3">
        <f t="shared" si="83"/>
        <v>1.7708520116421442</v>
      </c>
      <c r="L87" s="3">
        <v>40</v>
      </c>
      <c r="M87" s="3">
        <v>2</v>
      </c>
      <c r="N87" s="3">
        <f t="shared" si="84"/>
        <v>3.6020599913279625</v>
      </c>
      <c r="S87" s="3" t="e">
        <f t="shared" si="85"/>
        <v>#DIV/0!</v>
      </c>
      <c r="U87" s="3">
        <v>5.1100000000000003</v>
      </c>
      <c r="V87" s="3">
        <v>49.41</v>
      </c>
    </row>
    <row r="88" spans="1:22">
      <c r="B88" s="3" t="s">
        <v>21</v>
      </c>
      <c r="E88" s="3">
        <f>AVERAGE(E83:E87)</f>
        <v>5.1040285551940299</v>
      </c>
      <c r="H88" s="3">
        <f>AVERAGE(H83:H87)</f>
        <v>1.0965747167217508</v>
      </c>
      <c r="K88" s="3">
        <f>AVERAGE(K83:K87)</f>
        <v>1.6543274369119199</v>
      </c>
      <c r="N88" s="3">
        <f>AVERAGE(N83:N87)</f>
        <v>3.6097466407204832</v>
      </c>
      <c r="P88" s="3" t="e">
        <f t="shared" ref="P88:U88" si="87">AVERAGE(P83:P87)</f>
        <v>#DIV/0!</v>
      </c>
      <c r="Q88" s="3" t="e">
        <f t="shared" si="87"/>
        <v>#DIV/0!</v>
      </c>
      <c r="R88" s="3" t="e">
        <f t="shared" si="87"/>
        <v>#DIV/0!</v>
      </c>
      <c r="S88" s="3" t="e">
        <f t="shared" si="87"/>
        <v>#DIV/0!</v>
      </c>
      <c r="U88" s="3">
        <f t="shared" si="87"/>
        <v>5.1420000000000003</v>
      </c>
      <c r="V88" s="3">
        <f>AVERAGE(V83:V87)</f>
        <v>49.45</v>
      </c>
    </row>
    <row r="89" spans="1:22">
      <c r="B89" s="3" t="s">
        <v>22</v>
      </c>
      <c r="E89" s="3">
        <f>STDEV(E83:E87)</f>
        <v>0.16418248376360436</v>
      </c>
      <c r="H89" s="3">
        <f>STDEV(H83:H87)</f>
        <v>0.18102541217009804</v>
      </c>
      <c r="K89" s="3">
        <f>STDEV(K83:K87)</f>
        <v>9.6789048763481211E-2</v>
      </c>
      <c r="N89" s="3">
        <f>STDEV(N83:N87)</f>
        <v>0.10197852867702134</v>
      </c>
      <c r="P89" s="3" t="e">
        <f t="shared" ref="P89:S89" si="88">STDEV(P83:P87)</f>
        <v>#DIV/0!</v>
      </c>
      <c r="Q89" s="3" t="e">
        <f t="shared" si="88"/>
        <v>#DIV/0!</v>
      </c>
      <c r="R89" s="3" t="e">
        <f t="shared" si="88"/>
        <v>#DIV/0!</v>
      </c>
      <c r="S89" s="3" t="e">
        <f t="shared" si="88"/>
        <v>#DIV/0!</v>
      </c>
      <c r="U89" s="3">
        <f>STDEV(U83:U87)</f>
        <v>3.5637059362410885E-2</v>
      </c>
      <c r="V89" s="3">
        <f>STDEV(V83:V87)</f>
        <v>0.29214722315954816</v>
      </c>
    </row>
    <row r="91" spans="1:22">
      <c r="A91" s="3">
        <f>A83+1</f>
        <v>11</v>
      </c>
      <c r="B91" s="3">
        <v>1</v>
      </c>
      <c r="C91" s="3">
        <v>15</v>
      </c>
      <c r="D91" s="3">
        <v>4</v>
      </c>
      <c r="E91" s="3">
        <f>LOG10(C91/(10^(-D91)))</f>
        <v>5.1760912590556813</v>
      </c>
      <c r="F91" s="3">
        <v>22</v>
      </c>
      <c r="G91" s="3">
        <v>0</v>
      </c>
      <c r="H91" s="3">
        <f>LOG10(F91/(10^(-G91)))</f>
        <v>1.3424226808222062</v>
      </c>
      <c r="I91" s="3">
        <v>80</v>
      </c>
      <c r="J91" s="3">
        <v>0</v>
      </c>
      <c r="K91" s="3">
        <f>LOG10(I91/(10^(-J91)))</f>
        <v>1.9030899869919435</v>
      </c>
      <c r="L91" s="3">
        <v>8</v>
      </c>
      <c r="M91" s="3">
        <v>3</v>
      </c>
      <c r="N91" s="3">
        <f>LOG10(L91/(10^(-M91)))</f>
        <v>3.9030899869919438</v>
      </c>
      <c r="S91" s="3" t="e">
        <f>AVERAGE(P91:R91)</f>
        <v>#DIV/0!</v>
      </c>
      <c r="U91" s="3">
        <v>5.09</v>
      </c>
      <c r="V91" s="3">
        <v>48.9</v>
      </c>
    </row>
    <row r="92" spans="1:22">
      <c r="A92" s="3">
        <f>A91</f>
        <v>11</v>
      </c>
      <c r="B92" s="3">
        <v>2</v>
      </c>
      <c r="C92" s="3">
        <v>37</v>
      </c>
      <c r="D92" s="3">
        <v>4</v>
      </c>
      <c r="E92" s="3">
        <f t="shared" ref="E92:E95" si="89">LOG10(C92/(10^(-D92)))</f>
        <v>5.568201724066995</v>
      </c>
      <c r="F92" s="3">
        <v>21</v>
      </c>
      <c r="G92" s="3">
        <v>0</v>
      </c>
      <c r="H92" s="3">
        <f t="shared" ref="H92:H95" si="90">LOG10(F92/(10^(-G92)))</f>
        <v>1.3222192947339193</v>
      </c>
      <c r="I92" s="3">
        <v>59</v>
      </c>
      <c r="J92" s="3">
        <v>0</v>
      </c>
      <c r="K92" s="3">
        <f t="shared" ref="K92:K95" si="91">LOG10(I92/(10^(-J92)))</f>
        <v>1.7708520116421442</v>
      </c>
      <c r="L92" s="3">
        <v>12</v>
      </c>
      <c r="M92" s="3">
        <v>3</v>
      </c>
      <c r="N92" s="3">
        <f t="shared" ref="N92:N95" si="92">LOG10(L92/(10^(-M92)))</f>
        <v>4.0791812460476251</v>
      </c>
      <c r="S92" s="3" t="e">
        <f t="shared" ref="S92:S95" si="93">AVERAGE(P92:R92)</f>
        <v>#DIV/0!</v>
      </c>
      <c r="U92" s="3">
        <v>5.08</v>
      </c>
      <c r="V92" s="3">
        <v>48.73</v>
      </c>
    </row>
    <row r="93" spans="1:22">
      <c r="A93" s="3">
        <f t="shared" ref="A93:A95" si="94">A92</f>
        <v>11</v>
      </c>
      <c r="B93" s="3">
        <v>3</v>
      </c>
      <c r="C93" s="3">
        <v>27</v>
      </c>
      <c r="D93" s="3">
        <v>4</v>
      </c>
      <c r="E93" s="3">
        <f t="shared" si="89"/>
        <v>5.4313637641589869</v>
      </c>
      <c r="F93" s="3">
        <v>10</v>
      </c>
      <c r="G93" s="3">
        <v>0</v>
      </c>
      <c r="H93" s="3">
        <f t="shared" si="90"/>
        <v>1</v>
      </c>
      <c r="I93" s="3">
        <v>47</v>
      </c>
      <c r="J93" s="3">
        <v>0</v>
      </c>
      <c r="K93" s="3">
        <f t="shared" si="91"/>
        <v>1.6720978579357175</v>
      </c>
      <c r="L93" s="3">
        <v>12</v>
      </c>
      <c r="M93" s="3">
        <v>3</v>
      </c>
      <c r="N93" s="3">
        <f t="shared" si="92"/>
        <v>4.0791812460476251</v>
      </c>
      <c r="S93" s="3" t="e">
        <f t="shared" si="93"/>
        <v>#DIV/0!</v>
      </c>
      <c r="U93" s="3">
        <v>5.16</v>
      </c>
      <c r="V93" s="3">
        <v>49.69</v>
      </c>
    </row>
    <row r="94" spans="1:22">
      <c r="A94" s="3">
        <f t="shared" si="94"/>
        <v>11</v>
      </c>
      <c r="B94" s="3">
        <v>4</v>
      </c>
      <c r="C94" s="3">
        <v>26</v>
      </c>
      <c r="D94" s="3">
        <v>4</v>
      </c>
      <c r="E94" s="3">
        <f t="shared" si="89"/>
        <v>5.4149733479708182</v>
      </c>
      <c r="F94" s="3">
        <v>20</v>
      </c>
      <c r="G94" s="3">
        <v>0</v>
      </c>
      <c r="H94" s="3">
        <f t="shared" si="90"/>
        <v>1.3010299956639813</v>
      </c>
      <c r="I94" s="3">
        <v>80</v>
      </c>
      <c r="J94" s="3">
        <v>0</v>
      </c>
      <c r="K94" s="3">
        <f t="shared" si="91"/>
        <v>1.9030899869919435</v>
      </c>
      <c r="L94" s="3">
        <v>16</v>
      </c>
      <c r="M94" s="3">
        <v>3</v>
      </c>
      <c r="N94" s="3">
        <f t="shared" si="92"/>
        <v>4.204119982655925</v>
      </c>
      <c r="S94" s="3" t="e">
        <f t="shared" si="93"/>
        <v>#DIV/0!</v>
      </c>
      <c r="U94" s="3">
        <v>5.1100000000000003</v>
      </c>
      <c r="V94" s="3">
        <v>49.14</v>
      </c>
    </row>
    <row r="95" spans="1:22">
      <c r="A95" s="3">
        <f t="shared" si="94"/>
        <v>11</v>
      </c>
      <c r="B95" s="3">
        <v>5</v>
      </c>
      <c r="C95" s="3">
        <v>26</v>
      </c>
      <c r="D95" s="3">
        <v>4</v>
      </c>
      <c r="E95" s="3">
        <f t="shared" si="89"/>
        <v>5.4149733479708182</v>
      </c>
      <c r="F95" s="3">
        <v>34</v>
      </c>
      <c r="G95" s="3">
        <v>0</v>
      </c>
      <c r="H95" s="3">
        <f t="shared" si="90"/>
        <v>1.5314789170422551</v>
      </c>
      <c r="I95" s="3">
        <v>78</v>
      </c>
      <c r="J95" s="3">
        <v>0</v>
      </c>
      <c r="K95" s="3">
        <f t="shared" si="91"/>
        <v>1.8920946026904804</v>
      </c>
      <c r="L95" s="3">
        <v>14</v>
      </c>
      <c r="M95" s="3">
        <v>3</v>
      </c>
      <c r="N95" s="3">
        <f t="shared" si="92"/>
        <v>4.1461280356782382</v>
      </c>
      <c r="S95" s="3" t="e">
        <f t="shared" si="93"/>
        <v>#DIV/0!</v>
      </c>
      <c r="U95" s="3">
        <v>5.05</v>
      </c>
      <c r="V95" s="3">
        <v>48.75</v>
      </c>
    </row>
    <row r="96" spans="1:22">
      <c r="B96" s="3" t="s">
        <v>21</v>
      </c>
      <c r="E96" s="3">
        <f>AVERAGE(E91:E95)</f>
        <v>5.4011206886446601</v>
      </c>
      <c r="H96" s="3">
        <f>AVERAGE(H91:H95)</f>
        <v>1.2994301776524724</v>
      </c>
      <c r="K96" s="3">
        <f>AVERAGE(K91:K95)</f>
        <v>1.8282448892504459</v>
      </c>
      <c r="N96" s="3">
        <f>AVERAGE(N91:N95)</f>
        <v>4.0823400994842718</v>
      </c>
      <c r="P96" s="3" t="e">
        <f t="shared" ref="P96:S96" si="95">AVERAGE(P91:P95)</f>
        <v>#DIV/0!</v>
      </c>
      <c r="Q96" s="3" t="e">
        <f t="shared" si="95"/>
        <v>#DIV/0!</v>
      </c>
      <c r="R96" s="3" t="e">
        <f t="shared" si="95"/>
        <v>#DIV/0!</v>
      </c>
      <c r="S96" s="3" t="e">
        <f t="shared" si="95"/>
        <v>#DIV/0!</v>
      </c>
      <c r="U96" s="3">
        <f>AVERAGE(U91:U95)</f>
        <v>5.0980000000000008</v>
      </c>
      <c r="V96" s="3">
        <f>AVERAGE(V91:V95)</f>
        <v>49.041999999999994</v>
      </c>
    </row>
    <row r="97" spans="1:22">
      <c r="B97" s="3" t="s">
        <v>22</v>
      </c>
      <c r="E97" s="3">
        <f>STDEV(E91:E95)</f>
        <v>0.14129114669390233</v>
      </c>
      <c r="H97" s="3">
        <f>STDEV(H91:H95)</f>
        <v>0.19096813042049723</v>
      </c>
      <c r="K97" s="3">
        <f>STDEV(K91:K95)</f>
        <v>0.10362938893818452</v>
      </c>
      <c r="N97" s="3">
        <f>STDEV(N91:N95)</f>
        <v>0.11297101429986017</v>
      </c>
      <c r="P97" s="3" t="e">
        <f t="shared" ref="P97:S97" si="96">STDEV(P91:P95)</f>
        <v>#DIV/0!</v>
      </c>
      <c r="Q97" s="3" t="e">
        <f t="shared" si="96"/>
        <v>#DIV/0!</v>
      </c>
      <c r="R97" s="3" t="e">
        <f t="shared" si="96"/>
        <v>#DIV/0!</v>
      </c>
      <c r="S97" s="3" t="e">
        <f t="shared" si="96"/>
        <v>#DIV/0!</v>
      </c>
      <c r="U97" s="3">
        <f>STDEV(U91:U95)</f>
        <v>4.0865633483405224E-2</v>
      </c>
      <c r="V97" s="3">
        <f>STDEV(V91:V95)</f>
        <v>0.39758018059248429</v>
      </c>
    </row>
    <row r="99" spans="1:22">
      <c r="A99" s="3">
        <f>A91+1</f>
        <v>12</v>
      </c>
      <c r="B99" s="3">
        <v>1</v>
      </c>
      <c r="C99" s="3">
        <v>37</v>
      </c>
      <c r="D99" s="3">
        <v>4</v>
      </c>
      <c r="E99" s="3">
        <f>LOG10(C99/(10^(-D99)))</f>
        <v>5.568201724066995</v>
      </c>
      <c r="F99" s="3">
        <v>33</v>
      </c>
      <c r="G99" s="3">
        <v>0</v>
      </c>
      <c r="H99" s="3">
        <f>LOG10(F99/(10^(-G99)))</f>
        <v>1.5185139398778875</v>
      </c>
      <c r="I99" s="3">
        <v>5</v>
      </c>
      <c r="J99" s="3">
        <v>1</v>
      </c>
      <c r="K99" s="3">
        <f>LOG10(I99/(10^(-J99)))</f>
        <v>1.6989700043360187</v>
      </c>
      <c r="L99" s="3">
        <v>54</v>
      </c>
      <c r="M99" s="3">
        <v>3</v>
      </c>
      <c r="N99" s="3">
        <f>LOG10(L99/(10^(-M99)))</f>
        <v>4.7323937598229682</v>
      </c>
      <c r="S99" s="3" t="e">
        <f>AVERAGE(P99:R99)</f>
        <v>#DIV/0!</v>
      </c>
      <c r="U99" s="3">
        <v>4.93</v>
      </c>
      <c r="V99" s="3">
        <v>48.78</v>
      </c>
    </row>
    <row r="100" spans="1:22">
      <c r="A100" s="3">
        <f>A99</f>
        <v>12</v>
      </c>
      <c r="B100" s="3">
        <v>2</v>
      </c>
      <c r="C100" s="3">
        <v>30</v>
      </c>
      <c r="D100" s="3">
        <v>4</v>
      </c>
      <c r="E100" s="3">
        <f t="shared" ref="E100:E103" si="97">LOG10(C100/(10^(-D100)))</f>
        <v>5.4771212547196626</v>
      </c>
      <c r="F100" s="3">
        <v>34</v>
      </c>
      <c r="G100" s="3">
        <v>0</v>
      </c>
      <c r="H100" s="3">
        <f t="shared" ref="H100:H103" si="98">LOG10(F100/(10^(-G100)))</f>
        <v>1.5314789170422551</v>
      </c>
      <c r="I100" s="3">
        <v>10</v>
      </c>
      <c r="J100" s="3">
        <v>1</v>
      </c>
      <c r="K100" s="3">
        <f t="shared" ref="K100:K103" si="99">LOG10(I100/(10^(-J100)))</f>
        <v>2</v>
      </c>
      <c r="L100" s="3">
        <v>42</v>
      </c>
      <c r="M100" s="3">
        <v>3</v>
      </c>
      <c r="N100" s="3">
        <f t="shared" ref="N100:N103" si="100">LOG10(L100/(10^(-M100)))</f>
        <v>4.6232492903979008</v>
      </c>
      <c r="S100" s="3" t="e">
        <f t="shared" ref="S100:S103" si="101">AVERAGE(P100:R100)</f>
        <v>#DIV/0!</v>
      </c>
      <c r="U100" s="3">
        <v>5.01</v>
      </c>
      <c r="V100" s="3">
        <v>48.87</v>
      </c>
    </row>
    <row r="101" spans="1:22">
      <c r="A101" s="3">
        <f t="shared" ref="A101:A103" si="102">A100</f>
        <v>12</v>
      </c>
      <c r="B101" s="3">
        <v>3</v>
      </c>
      <c r="C101" s="3">
        <v>47</v>
      </c>
      <c r="D101" s="3">
        <v>4</v>
      </c>
      <c r="E101" s="3">
        <f t="shared" si="97"/>
        <v>5.6720978579357171</v>
      </c>
      <c r="F101" s="3">
        <v>22</v>
      </c>
      <c r="G101" s="3">
        <v>0</v>
      </c>
      <c r="H101" s="3">
        <f t="shared" si="98"/>
        <v>1.3424226808222062</v>
      </c>
      <c r="I101" s="3">
        <v>11</v>
      </c>
      <c r="J101" s="3">
        <v>1</v>
      </c>
      <c r="K101" s="3">
        <f t="shared" si="99"/>
        <v>2.0413926851582249</v>
      </c>
      <c r="L101" s="3">
        <v>35</v>
      </c>
      <c r="M101" s="3">
        <v>3</v>
      </c>
      <c r="N101" s="3">
        <f t="shared" si="100"/>
        <v>4.5440680443502757</v>
      </c>
      <c r="S101" s="3" t="e">
        <f t="shared" si="101"/>
        <v>#DIV/0!</v>
      </c>
      <c r="U101" s="3">
        <v>4.97</v>
      </c>
      <c r="V101" s="3">
        <v>48.61</v>
      </c>
    </row>
    <row r="102" spans="1:22">
      <c r="A102" s="3">
        <f t="shared" si="102"/>
        <v>12</v>
      </c>
      <c r="B102" s="3">
        <v>4</v>
      </c>
      <c r="C102" s="3">
        <v>40</v>
      </c>
      <c r="D102" s="3">
        <v>4</v>
      </c>
      <c r="E102" s="3">
        <f t="shared" si="97"/>
        <v>5.6020599913279625</v>
      </c>
      <c r="F102" s="3">
        <v>33</v>
      </c>
      <c r="G102" s="3">
        <v>0</v>
      </c>
      <c r="H102" s="3">
        <f t="shared" si="98"/>
        <v>1.5185139398778875</v>
      </c>
      <c r="I102" s="3">
        <v>11</v>
      </c>
      <c r="J102" s="3">
        <v>1</v>
      </c>
      <c r="K102" s="3">
        <f t="shared" si="99"/>
        <v>2.0413926851582249</v>
      </c>
      <c r="L102" s="3">
        <v>30</v>
      </c>
      <c r="M102" s="3">
        <v>3</v>
      </c>
      <c r="N102" s="3">
        <f t="shared" si="100"/>
        <v>4.4771212547196626</v>
      </c>
      <c r="S102" s="3" t="e">
        <f t="shared" si="101"/>
        <v>#DIV/0!</v>
      </c>
      <c r="U102" s="3">
        <v>5.0599999999999996</v>
      </c>
      <c r="V102" s="3">
        <v>48.65</v>
      </c>
    </row>
    <row r="103" spans="1:22">
      <c r="A103" s="3">
        <f t="shared" si="102"/>
        <v>12</v>
      </c>
      <c r="B103" s="3">
        <v>5</v>
      </c>
      <c r="C103" s="3">
        <v>57</v>
      </c>
      <c r="D103" s="3">
        <v>4</v>
      </c>
      <c r="E103" s="3">
        <f t="shared" si="97"/>
        <v>5.7558748556724915</v>
      </c>
      <c r="F103" s="3">
        <v>44</v>
      </c>
      <c r="G103" s="3">
        <v>0</v>
      </c>
      <c r="H103" s="3">
        <f t="shared" si="98"/>
        <v>1.6434526764861874</v>
      </c>
      <c r="I103" s="3">
        <v>17</v>
      </c>
      <c r="J103" s="3">
        <v>1</v>
      </c>
      <c r="K103" s="3">
        <f t="shared" si="99"/>
        <v>2.2304489213782741</v>
      </c>
      <c r="L103" s="3">
        <v>47</v>
      </c>
      <c r="M103" s="3">
        <v>3</v>
      </c>
      <c r="N103" s="3">
        <f t="shared" si="100"/>
        <v>4.6720978579357171</v>
      </c>
      <c r="S103" s="3" t="e">
        <f t="shared" si="101"/>
        <v>#DIV/0!</v>
      </c>
      <c r="U103" s="3">
        <v>5.07</v>
      </c>
      <c r="V103" s="3">
        <v>49.03</v>
      </c>
    </row>
    <row r="104" spans="1:22">
      <c r="B104" s="3" t="s">
        <v>21</v>
      </c>
      <c r="E104" s="3">
        <f>AVERAGE(E99:E103)</f>
        <v>5.6150711367445663</v>
      </c>
      <c r="H104" s="3">
        <f>AVERAGE(H99:H103)</f>
        <v>1.5108764308212848</v>
      </c>
      <c r="K104" s="3">
        <f>AVERAGE(K99:K103)</f>
        <v>2.0024408592061489</v>
      </c>
      <c r="N104" s="3">
        <f>AVERAGE(N99:N103)</f>
        <v>4.6097860414453056</v>
      </c>
      <c r="P104" s="3" t="e">
        <f t="shared" ref="P104:S104" si="103">AVERAGE(P99:P103)</f>
        <v>#DIV/0!</v>
      </c>
      <c r="Q104" s="3" t="e">
        <f t="shared" si="103"/>
        <v>#DIV/0!</v>
      </c>
      <c r="R104" s="3" t="e">
        <f t="shared" si="103"/>
        <v>#DIV/0!</v>
      </c>
      <c r="S104" s="3" t="e">
        <f t="shared" si="103"/>
        <v>#DIV/0!</v>
      </c>
      <c r="U104" s="3">
        <f>AVERAGE(U99:U103)</f>
        <v>5.008</v>
      </c>
      <c r="V104" s="3">
        <f>AVERAGE(V99:V103)</f>
        <v>48.787999999999997</v>
      </c>
    </row>
    <row r="105" spans="1:22">
      <c r="B105" s="3" t="s">
        <v>22</v>
      </c>
      <c r="E105" s="3">
        <f>STDEV(E99:E103)</f>
        <v>0.10544422209658671</v>
      </c>
      <c r="H105" s="3">
        <f>STDEV(H99:H103)</f>
        <v>0.10781262951414534</v>
      </c>
      <c r="K105" s="3">
        <f>STDEV(K99:K103)</f>
        <v>0.19178287427111471</v>
      </c>
      <c r="N105" s="3">
        <f>STDEV(N99:N103)</f>
        <v>0.1012613881640135</v>
      </c>
      <c r="P105" s="3" t="e">
        <f t="shared" ref="P105:S105" si="104">STDEV(P99:P103)</f>
        <v>#DIV/0!</v>
      </c>
      <c r="Q105" s="3" t="e">
        <f t="shared" si="104"/>
        <v>#DIV/0!</v>
      </c>
      <c r="R105" s="3" t="e">
        <f t="shared" si="104"/>
        <v>#DIV/0!</v>
      </c>
      <c r="S105" s="3" t="e">
        <f t="shared" si="104"/>
        <v>#DIV/0!</v>
      </c>
      <c r="U105" s="3">
        <f>STDEV(U99:U103)</f>
        <v>5.9329587896765422E-2</v>
      </c>
      <c r="V105" s="3">
        <f>STDEV(V99:V103)</f>
        <v>0.17035257556021915</v>
      </c>
    </row>
    <row r="107" spans="1:22">
      <c r="A107" s="3">
        <f>A99+1</f>
        <v>13</v>
      </c>
      <c r="B107" s="3">
        <v>1</v>
      </c>
      <c r="C107" s="3">
        <v>44</v>
      </c>
      <c r="D107" s="3">
        <v>4</v>
      </c>
      <c r="E107" s="3">
        <f>LOG10(C107/(10^(-D107)))</f>
        <v>5.6434526764861879</v>
      </c>
      <c r="F107" s="3">
        <v>40</v>
      </c>
      <c r="G107" s="3">
        <v>0</v>
      </c>
      <c r="H107" s="3">
        <f>LOG10(F107/(10^(-G107)))</f>
        <v>1.6020599913279623</v>
      </c>
      <c r="I107" s="3">
        <v>20</v>
      </c>
      <c r="J107" s="3">
        <v>1</v>
      </c>
      <c r="K107" s="3">
        <f>LOG10(I107/(10^(-J107)))</f>
        <v>2.3010299956639813</v>
      </c>
      <c r="L107" s="3">
        <v>8</v>
      </c>
      <c r="M107" s="3">
        <v>4</v>
      </c>
      <c r="N107" s="3">
        <f>LOG10(L107/(10^(-M107)))</f>
        <v>4.9030899869919438</v>
      </c>
      <c r="S107" s="3" t="e">
        <f>AVERAGE(P107:R107)</f>
        <v>#DIV/0!</v>
      </c>
      <c r="U107" s="3">
        <v>4.99</v>
      </c>
      <c r="V107" s="3">
        <v>48.44</v>
      </c>
    </row>
    <row r="108" spans="1:22">
      <c r="A108" s="3">
        <f>A107</f>
        <v>13</v>
      </c>
      <c r="B108" s="3">
        <v>2</v>
      </c>
      <c r="C108" s="3">
        <v>70</v>
      </c>
      <c r="D108" s="3">
        <v>4</v>
      </c>
      <c r="E108" s="3">
        <f t="shared" ref="E108:E111" si="105">LOG10(C108/(10^(-D108)))</f>
        <v>5.8450980400142569</v>
      </c>
      <c r="F108" s="3">
        <v>45</v>
      </c>
      <c r="G108" s="3">
        <v>0</v>
      </c>
      <c r="H108" s="3">
        <f t="shared" ref="H108:H111" si="106">LOG10(F108/(10^(-G108)))</f>
        <v>1.6532125137753437</v>
      </c>
      <c r="I108" s="3">
        <v>23</v>
      </c>
      <c r="J108" s="3">
        <v>1</v>
      </c>
      <c r="K108" s="3">
        <f t="shared" ref="K108:K111" si="107">LOG10(I108/(10^(-J108)))</f>
        <v>2.3617278360175931</v>
      </c>
      <c r="L108" s="3">
        <v>13</v>
      </c>
      <c r="M108" s="3">
        <v>4</v>
      </c>
      <c r="N108" s="3">
        <f t="shared" ref="N108:N111" si="108">LOG10(L108/(10^(-M108)))</f>
        <v>5.1139433523068369</v>
      </c>
      <c r="S108" s="3" t="e">
        <f t="shared" ref="S108:S111" si="109">AVERAGE(P108:R108)</f>
        <v>#DIV/0!</v>
      </c>
      <c r="U108" s="3">
        <v>4.9800000000000004</v>
      </c>
      <c r="V108" s="3">
        <v>49.17</v>
      </c>
    </row>
    <row r="109" spans="1:22">
      <c r="A109" s="3">
        <f t="shared" ref="A109:A111" si="110">A108</f>
        <v>13</v>
      </c>
      <c r="B109" s="3">
        <v>3</v>
      </c>
      <c r="C109" s="3">
        <v>52</v>
      </c>
      <c r="D109" s="3">
        <v>4</v>
      </c>
      <c r="E109" s="3">
        <f t="shared" si="105"/>
        <v>5.7160033436347994</v>
      </c>
      <c r="F109" s="3">
        <v>65</v>
      </c>
      <c r="G109" s="3">
        <v>0</v>
      </c>
      <c r="H109" s="3">
        <f t="shared" si="106"/>
        <v>1.8129133566428555</v>
      </c>
      <c r="I109" s="3">
        <v>12</v>
      </c>
      <c r="J109" s="3">
        <v>1</v>
      </c>
      <c r="K109" s="3">
        <f t="shared" si="107"/>
        <v>2.0791812460476247</v>
      </c>
      <c r="L109" s="3">
        <v>14</v>
      </c>
      <c r="M109" s="3">
        <v>4</v>
      </c>
      <c r="N109" s="3">
        <f t="shared" si="108"/>
        <v>5.1461280356782382</v>
      </c>
      <c r="S109" s="3" t="e">
        <f t="shared" si="109"/>
        <v>#DIV/0!</v>
      </c>
      <c r="U109" s="3">
        <v>4.93</v>
      </c>
      <c r="V109" s="3">
        <v>48.11</v>
      </c>
    </row>
    <row r="110" spans="1:22">
      <c r="A110" s="3">
        <f t="shared" si="110"/>
        <v>13</v>
      </c>
      <c r="B110" s="3">
        <v>4</v>
      </c>
      <c r="C110" s="3">
        <v>38</v>
      </c>
      <c r="D110" s="3">
        <v>4</v>
      </c>
      <c r="E110" s="3">
        <f t="shared" si="105"/>
        <v>5.5797835966168101</v>
      </c>
      <c r="F110" s="3">
        <v>48</v>
      </c>
      <c r="G110" s="3">
        <v>0</v>
      </c>
      <c r="H110" s="3">
        <f t="shared" si="106"/>
        <v>1.6812412373755872</v>
      </c>
      <c r="I110" s="3">
        <v>17</v>
      </c>
      <c r="J110" s="3">
        <v>1</v>
      </c>
      <c r="K110" s="3">
        <f t="shared" si="107"/>
        <v>2.2304489213782741</v>
      </c>
      <c r="L110" s="3">
        <v>14</v>
      </c>
      <c r="M110" s="3">
        <v>4</v>
      </c>
      <c r="N110" s="3">
        <f t="shared" si="108"/>
        <v>5.1461280356782382</v>
      </c>
      <c r="S110" s="3" t="e">
        <f t="shared" si="109"/>
        <v>#DIV/0!</v>
      </c>
      <c r="U110" s="3">
        <v>4.9800000000000004</v>
      </c>
      <c r="V110" s="3">
        <v>48.56</v>
      </c>
    </row>
    <row r="111" spans="1:22">
      <c r="A111" s="3">
        <f t="shared" si="110"/>
        <v>13</v>
      </c>
      <c r="B111" s="3">
        <v>5</v>
      </c>
      <c r="C111" s="3">
        <v>68</v>
      </c>
      <c r="D111" s="3">
        <v>4</v>
      </c>
      <c r="E111" s="3">
        <f t="shared" si="105"/>
        <v>5.8325089127062366</v>
      </c>
      <c r="F111" s="3">
        <v>61</v>
      </c>
      <c r="G111" s="3">
        <v>0</v>
      </c>
      <c r="H111" s="3">
        <f t="shared" si="106"/>
        <v>1.7853298350107671</v>
      </c>
      <c r="I111" s="3">
        <v>16</v>
      </c>
      <c r="J111" s="3">
        <v>1</v>
      </c>
      <c r="K111" s="3">
        <f t="shared" si="107"/>
        <v>2.2041199826559246</v>
      </c>
      <c r="L111" s="3">
        <v>13</v>
      </c>
      <c r="M111" s="3">
        <v>4</v>
      </c>
      <c r="N111" s="3">
        <f t="shared" si="108"/>
        <v>5.1139433523068369</v>
      </c>
      <c r="S111" s="3" t="e">
        <f t="shared" si="109"/>
        <v>#DIV/0!</v>
      </c>
      <c r="U111" s="3">
        <v>4.97</v>
      </c>
      <c r="V111" s="3">
        <v>48.26</v>
      </c>
    </row>
    <row r="112" spans="1:22">
      <c r="B112" s="3" t="s">
        <v>21</v>
      </c>
      <c r="E112" s="3">
        <f>AVERAGE(E107:E111)</f>
        <v>5.7233693138916575</v>
      </c>
      <c r="H112" s="3">
        <f>AVERAGE(H107:H111)</f>
        <v>1.7069513868265029</v>
      </c>
      <c r="K112" s="3">
        <f>AVERAGE(K107:K111)</f>
        <v>2.2353015963526799</v>
      </c>
      <c r="N112" s="3">
        <f>AVERAGE(N107:N111)</f>
        <v>5.0846465525924192</v>
      </c>
      <c r="P112" s="3" t="e">
        <f t="shared" ref="P112:S112" si="111">AVERAGE(P107:P111)</f>
        <v>#DIV/0!</v>
      </c>
      <c r="Q112" s="3" t="e">
        <f t="shared" si="111"/>
        <v>#DIV/0!</v>
      </c>
      <c r="R112" s="3" t="e">
        <f t="shared" si="111"/>
        <v>#DIV/0!</v>
      </c>
      <c r="S112" s="3" t="e">
        <f t="shared" si="111"/>
        <v>#DIV/0!</v>
      </c>
      <c r="U112" s="3">
        <f>AVERAGE(U107:U111)</f>
        <v>4.9700000000000006</v>
      </c>
      <c r="V112" s="3">
        <f>AVERAGE(V107:V111)</f>
        <v>48.507999999999996</v>
      </c>
    </row>
    <row r="113" spans="2:22">
      <c r="B113" s="3" t="s">
        <v>22</v>
      </c>
      <c r="E113" s="3">
        <f>STDEV(E107:E111)</f>
        <v>0.11596025121805768</v>
      </c>
      <c r="H113" s="3">
        <f>STDEV(H107:H111)</f>
        <v>8.9333928742617988E-2</v>
      </c>
      <c r="K113" s="3">
        <f>STDEV(K107:K111)</f>
        <v>0.10685647128080732</v>
      </c>
      <c r="N113" s="3">
        <f>STDEV(N107:N111)</f>
        <v>0.10276105413111385</v>
      </c>
      <c r="P113" s="3" t="e">
        <f t="shared" ref="P113:S113" si="112">STDEV(P107:P111)</f>
        <v>#DIV/0!</v>
      </c>
      <c r="Q113" s="3" t="e">
        <f t="shared" si="112"/>
        <v>#DIV/0!</v>
      </c>
      <c r="R113" s="3" t="e">
        <f t="shared" si="112"/>
        <v>#DIV/0!</v>
      </c>
      <c r="S113" s="3" t="e">
        <f t="shared" si="112"/>
        <v>#DIV/0!</v>
      </c>
      <c r="U113" s="3">
        <f>STDEV(U107:U111)</f>
        <v>2.3452078799117405E-2</v>
      </c>
      <c r="V113" s="3">
        <f>STDEV(V107:V111)</f>
        <v>0.40788478765389197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Er. Ankit Deep</dc:creator>
  <cp:lastModifiedBy>Er. Ankit Deep</cp:lastModifiedBy>
  <dcterms:created xsi:type="dcterms:W3CDTF">2025-01-11T13:12:49Z</dcterms:created>
  <dcterms:modified xsi:type="dcterms:W3CDTF">2025-01-11T13:13:59Z</dcterms:modified>
</cp:coreProperties>
</file>